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Firm Profile" sheetId="2" state="visible" r:id="rId4"/>
    <sheet name="Questionnaire" sheetId="3" state="visible" r:id="rId5"/>
    <sheet name="Proposed Team" sheetId="4" state="visible" r:id="rId6"/>
    <sheet name="Rate Card" sheetId="5" state="visible" r:id="rId7"/>
    <sheet name="Fee Model" sheetId="6" state="visible" r:id="rId8"/>
    <sheet name="Translation" sheetId="7" state="visible" r:id="rId9"/>
    <sheet name="Billing Compliance" sheetId="8" state="visible" r:id="rId10"/>
    <sheet name="Security &amp; AI" sheetId="9" state="visible" r:id="rId11"/>
    <sheet name="KPIs &amp; SLAs" sheetId="10" state="visible" r:id="rId12"/>
    <sheet name="Clarifications" sheetId="11" state="visible" r:id="rId13"/>
    <sheet name="Declarations" sheetId="12" state="visible" r:id="rId14"/>
  </sheets>
  <definedNames>
    <definedName function="false" hidden="false" localSheetId="7" name="_xlnm.Print_Titles" vbProcedure="false">'Billing Compliance'!$5:$5</definedName>
    <definedName function="false" hidden="false" localSheetId="10" name="_xlnm.Print_Titles" vbProcedure="false">Clarifications!$5:$5</definedName>
    <definedName function="false" hidden="false" localSheetId="11" name="_xlnm.Print_Titles" vbProcedure="false">Declarations!$5:$5</definedName>
    <definedName function="false" hidden="false" localSheetId="1" name="_xlnm.Print_Titles" vbProcedure="false">'Firm Profile'!$5:$5</definedName>
    <definedName function="false" hidden="false" localSheetId="0" name="_xlnm.Print_Titles" vbProcedure="false">Instructions!$5:$5</definedName>
    <definedName function="false" hidden="false" localSheetId="9" name="_xlnm.Print_Titles" vbProcedure="false">'KPIs &amp; SLAs'!$5:$5</definedName>
    <definedName function="false" hidden="false" localSheetId="3" name="_xlnm.Print_Titles" vbProcedure="false">'Proposed Team'!$5:$5</definedName>
    <definedName function="false" hidden="false" localSheetId="2" name="_xlnm.Print_Titles" vbProcedure="false">Questionnaire!$5:$5</definedName>
    <definedName function="false" hidden="false" localSheetId="4" name="_xlnm.Print_Titles" vbProcedure="false">'Rate Card'!$5:$5</definedName>
    <definedName function="false" hidden="false" localSheetId="8" name="_xlnm.Print_Titles" vbProcedure="false">'Security &amp; AI'!$5:$5</definedName>
    <definedName function="false" hidden="false" localSheetId="6" name="_xlnm.Print_Titles" vbProcedure="false">Translation!$5:$5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<sst xmlns="http://schemas.openxmlformats.org/spreadsheetml/2006/main" count="1286" uniqueCount="844">
  <si>
    <t xml:space="preserve">Netflix RFP – Product and Technology Legal Services: Response Spreadsheet</t>
  </si>
  <si>
    <t xml:space="preserve">Prepared in accordance with the Netflix RFP questionnaire instructions (objective, concise, individualized responses)</t>
  </si>
  <si>
    <t xml:space="preserve">Respondent: Dentons KMN   |   Submission date: 14 September 2026   |   CONFIDENTIAL</t>
  </si>
  <si>
    <t xml:space="preserve">Item</t>
  </si>
  <si>
    <t xml:space="preserve">Detail</t>
  </si>
  <si>
    <t xml:space="preserve">Purpose of this workbook</t>
  </si>
  <si>
    <t xml:space="preserve">This spreadsheet is Dentons KMN's response to the Netflix Request for Proposal for Product and Technology legal services issued on 31 August 2026. Per the RFP, the spreadsheet is the vehicle for all questionnaire responses. A narrative proposal accompanies it; where the two differ, this spreadsheet governs.</t>
  </si>
  <si>
    <t xml:space="preserve">How to read it</t>
  </si>
  <si>
    <t xml:space="preserve">Each tab addresses one part of the RFP. The Questionnaire tab is organised by Netflix's evaluation criteria (Communication, Transparency, Technical Quality, Tools and Technology, Team Composition, Pricing) plus the mandatory requirements (scope, translation, Outside Counsel Guidelines, Security Addendum and AI Guidelines).</t>
  </si>
  <si>
    <t xml:space="preserve">Tabs</t>
  </si>
  <si>
    <t xml:space="preserve">1 Instructions · 2 Firm Profile · 3 Questionnaire · 4 Proposed Team · 5 Rate Card · 6 Fee Model · 7 Translation · 8 Billing Compliance · 9 Security &amp; AI · 10 KPIs &amp; SLAs · 11 Clarifications · 12 Declarations</t>
  </si>
  <si>
    <t xml:space="preserve">Cell legend</t>
  </si>
  <si>
    <t xml:space="preserve">White cells: Dentons KMN's response, complete. Yellow cells with blue text: firm inputs to be confirmed by the Relationship Partner or Finance before the file is sent (names, IDs, rates, insurance details). Formulas are black text and recalculate automatically; Netflix may change any yellow driver in the Fee Model tab to test scenarios.</t>
  </si>
  <si>
    <t xml:space="preserve">Currency and dates</t>
  </si>
  <si>
    <t xml:space="preserve">All amounts are in US dollars unless stated. Rates are effective 1 January 2027 (the start of the firm's fiscal year, as the Guidelines request) and are fixed for three years.</t>
  </si>
  <si>
    <t xml:space="preserve">Confidentiality</t>
  </si>
  <si>
    <t xml:space="preserve">This response contains confidential and proprietary information of Dentons KMN and is provided solely for Netflix's evaluation of the RFP. The RFP materials received from Netflix have been restricted to the personnel preparing this response.</t>
  </si>
  <si>
    <t xml:space="preserve">Communication</t>
  </si>
  <si>
    <t xml:space="preserve">All questions about this response should be directed by Netflix to the Relationship Partner listed on the Firm Profile tab. Dentons KMN will communicate with Netflix about the RFP only via legalops-ebilling@netflix.com, as the RFP requires.</t>
  </si>
  <si>
    <t xml:space="preserve">Key dates</t>
  </si>
  <si>
    <t xml:space="preserve">RFP issued 31 Aug 2026 · Firm questions due 3 Sep 2026 · Netflix answers 9 Sep 2026 · Full spreadsheet due 14 Sep 2026 · Feedback and interviews 15–25 Sep 2026 · Second round, price negotiation and award early Oct 2026</t>
  </si>
  <si>
    <t xml:space="preserve">Firm Profile</t>
  </si>
  <si>
    <t xml:space="preserve">Key facts about the responding firm</t>
  </si>
  <si>
    <t xml:space="preserve">Field</t>
  </si>
  <si>
    <t xml:space="preserve">Response</t>
  </si>
  <si>
    <t xml:space="preserve">Legal name of firm</t>
  </si>
  <si>
    <t xml:space="preserve">Dentons KMN</t>
  </si>
  <si>
    <t xml:space="preserve">Network membership</t>
  </si>
  <si>
    <t xml:space="preserve">Member of Dentons, the world's largest law firm by lawyer headcount, with offices in more than 80 countries</t>
  </si>
  <si>
    <t xml:space="preserve">Principal office</t>
  </si>
  <si>
    <t xml:space="preserve">[Street address, City, Country]</t>
  </si>
  <si>
    <t xml:space="preserve">Other offices available to Netflix through the network</t>
  </si>
  <si>
    <t xml:space="preserve">Dentons offices across North America, Latin America, Europe, the Middle East, Africa and Asia Pacific; local-law input is coordinated by the Netflix core team and billed on Netflix terms</t>
  </si>
  <si>
    <t xml:space="preserve">Website</t>
  </si>
  <si>
    <t xml:space="preserve">[www.dentons.com/…]</t>
  </si>
  <si>
    <t xml:space="preserve">Relationship Partner</t>
  </si>
  <si>
    <t xml:space="preserve">[Name]</t>
  </si>
  <si>
    <t xml:space="preserve">Relationship Partner email</t>
  </si>
  <si>
    <t xml:space="preserve">[email@dentons.com]</t>
  </si>
  <si>
    <t xml:space="preserve">Relationship Partner telephone</t>
  </si>
  <si>
    <t xml:space="preserve">[+00 000 000 0000]</t>
  </si>
  <si>
    <t xml:space="preserve">Alternate contact (Client Service &amp; Billing Manager)</t>
  </si>
  <si>
    <t xml:space="preserve">[Name, email, telephone]</t>
  </si>
  <si>
    <t xml:space="preserve">Security point of contact (Addendum s.3)</t>
  </si>
  <si>
    <t xml:space="preserve">Total lawyers – Dentons KMN</t>
  </si>
  <si>
    <t xml:space="preserve">[number]</t>
  </si>
  <si>
    <t xml:space="preserve">Lawyers in Product &amp; Technology-relevant practices (privacy, consumer, IP, TMT, commercial)</t>
  </si>
  <si>
    <t xml:space="preserve">Number of languages covered by qualified attorneys on the proposed translation desk</t>
  </si>
  <si>
    <t xml:space="preserve">[number] (see Translation tab)</t>
  </si>
  <si>
    <t xml:space="preserve">Existing Legal Tracker profile</t>
  </si>
  <si>
    <t xml:space="preserve">[Yes / No – if No, we will contact legalops-ebilling@netflix.com on award to set one up]</t>
  </si>
  <si>
    <t xml:space="preserve">LEDES billing capability</t>
  </si>
  <si>
    <t xml:space="preserve">Yes – LEDES 1998B and 98BI generated from the firm's practice management system</t>
  </si>
  <si>
    <t xml:space="preserve">Information security certifications</t>
  </si>
  <si>
    <t xml:space="preserve">[e.g. ISO/IEC 27001 – certificate number and expiry]</t>
  </si>
  <si>
    <t xml:space="preserve">Professional indemnity insurance</t>
  </si>
  <si>
    <t xml:space="preserve">[Insurer, limit of indemnity, policy period]</t>
  </si>
  <si>
    <t xml:space="preserve">Fiscal year start (rate effective date)</t>
  </si>
  <si>
    <t xml:space="preserve">1 January</t>
  </si>
  <si>
    <t xml:space="preserve">Any existing relationship with Netflix</t>
  </si>
  <si>
    <t xml:space="preserve">[None / describe]</t>
  </si>
  <si>
    <t xml:space="preserve">Conflicts check status</t>
  </si>
  <si>
    <t xml:space="preserve">[Preliminary check complete – no conflict identified / describe]</t>
  </si>
  <si>
    <t xml:space="preserve">Signatory authorised to bind the firm for this response</t>
  </si>
  <si>
    <t xml:space="preserve">[Name, title]</t>
  </si>
  <si>
    <t xml:space="preserve">Questionnaire</t>
  </si>
  <si>
    <t xml:space="preserve">Objective, concise and individualized responses to each question, organised by RFP section and evaluation criterion</t>
  </si>
  <si>
    <t xml:space="preserve">Ref</t>
  </si>
  <si>
    <t xml:space="preserve">Section</t>
  </si>
  <si>
    <t xml:space="preserve">Question</t>
  </si>
  <si>
    <t xml:space="preserve">Dentons KMN response</t>
  </si>
  <si>
    <t xml:space="preserve">Evidence / cross-reference</t>
  </si>
  <si>
    <t xml:space="preserve">Complies?</t>
  </si>
  <si>
    <t xml:space="preserve">A. MANDATORY REQUIREMENTS AND SCOPE</t>
  </si>
  <si>
    <t xml:space="preserve">A1</t>
  </si>
  <si>
    <t xml:space="preserve">Scope</t>
  </si>
  <si>
    <t xml:space="preserve">Confirm that your firm can provide comprehensive product and technology legal counsel across all areas listed in the RFP scope.</t>
  </si>
  <si>
    <t xml:space="preserve">Yes. Dentons KMN will provide counsel on global patent prosecution, data privacy, consumer protection, marketing compliance, product contracts, time-sensitive commercial negotiations and regulatory inquiries, plus legal translation, through one integrated Product &amp; Technology team with named leads for each area and local-law input from Dentons offices in the countries where Netflix operates.</t>
  </si>
  <si>
    <t xml:space="preserve">Proposal s.2, s.5</t>
  </si>
  <si>
    <t xml:space="preserve">Yes</t>
  </si>
  <si>
    <t xml:space="preserve">A2</t>
  </si>
  <si>
    <t xml:space="preserve">Describe your experience advising global entertainment and technology companies on product and technology matters.</t>
  </si>
  <si>
    <t xml:space="preserve">Our lawyers advise streaming, gaming, digital media, consumer technology and platform businesses on launching features across many jurisdictions, subscription and cancellation flows, privacy programmes for personalization and advertising, patent portfolios for media technology and platform partnerships. Anonymised representative matters are available on request, subject to client confidentiality and our policy of not publicising engagements.</t>
  </si>
  <si>
    <t xml:space="preserve">Proposal s.3.2</t>
  </si>
  <si>
    <t xml:space="preserve">A3</t>
  </si>
  <si>
    <t xml:space="preserve">Confirm the jurisdictions in which you can provide advice directly and those you would cover through affiliates or correspondent firms.</t>
  </si>
  <si>
    <t xml:space="preserve">Direct advice from Dentons KMN in [home jurisdiction(s)]; advice in other Netflix markets from Dentons offices in 80+ countries under the same engagement terms, coordinated by the Netflix core team. Correspondent firms are used only where Dentons has no office, only with the Netflix Matter Lead's prior approval, and are passed through at cost with invoices attached.</t>
  </si>
  <si>
    <t xml:space="preserve">Proposal s.4.2</t>
  </si>
  <si>
    <t xml:space="preserve">A4</t>
  </si>
  <si>
    <t xml:space="preserve">Can you support time-sensitive commercial negotiations and regulatory inquiries? Describe your capacity and response times.</t>
  </si>
  <si>
    <t xml:space="preserve">Yes. Interim view within 4 hours and full response the same business day for urgent items; counterparty mark-ups turned around the same day in time-sensitive negotiations; a single response coordinator and war-room protocol for regulator deadlines under ten business days; follow-the-sun coverage through the Dentons network.</t>
  </si>
  <si>
    <t xml:space="preserve">Proposal s.5.5, s.5.6, s.6</t>
  </si>
  <si>
    <t xml:space="preserve">A5</t>
  </si>
  <si>
    <t xml:space="preserve">Translation</t>
  </si>
  <si>
    <t xml:space="preserve">Do you have multilingual attorneys able to translate and review privacy, consumer protection and other product and technology legal documents?</t>
  </si>
  <si>
    <t xml:space="preserve">Yes. A dedicated Legal Translation &amp; Localization Desk of qualified attorneys who are native or near-native speakers of the target language and trained in the relevant legal system. Languages, attorney counts and turnaround are listed on the Translation tab.</t>
  </si>
  <si>
    <t xml:space="preserve">Translation tab</t>
  </si>
  <si>
    <t xml:space="preserve">A6</t>
  </si>
  <si>
    <t xml:space="preserve">Confirm your attorneys can work directly within Netflix's internal translation and localization tools.</t>
  </si>
  <si>
    <t xml:space="preserve">Yes. Attorney-translators will be onboarded to Netflix's tools during the first ten days after award, will follow Netflix's workflow states, and will not export Netflix content outside the Netflix environment.</t>
  </si>
  <si>
    <t xml:space="preserve">Proposal s.5.7</t>
  </si>
  <si>
    <t xml:space="preserve">A7</t>
  </si>
  <si>
    <t xml:space="preserve">Confirm adherence to Netflix's provided glossary and describe how you ensure consistency.</t>
  </si>
  <si>
    <t xml:space="preserve">Yes. The Netflix glossary is loaded into our terminology checks; every deliverable passes an automated glossary-conformance check before second-attorney legal QA; proposed glossary additions are submitted to Netflix for approval rather than applied unilaterally; a source-language legal lead aligns meaning across all target languages before translation begins.</t>
  </si>
  <si>
    <t xml:space="preserve">A8</t>
  </si>
  <si>
    <t xml:space="preserve">Confirm that translation feedback will focus on substantive legal accuracy rather than stylistic or preferential edits.</t>
  </si>
  <si>
    <t xml:space="preserve">Yes. We apply a written 'substantive-only' rule: feedback is limited to legal meaning, enforceability, mandatory local-law wording and regulatory terminology. Stylistic or preferential comments are not made unless Netflix asks for them.</t>
  </si>
  <si>
    <t xml:space="preserve">A9</t>
  </si>
  <si>
    <t xml:space="preserve">Guidelines</t>
  </si>
  <si>
    <t xml:space="preserve">Have you read the Netflix 2026 Outside Counsel Guidelines and do you agree to comply with them in full?</t>
  </si>
  <si>
    <t xml:space="preserve">Yes. We have reviewed the Guidelines (updated January 2026) and commit to full compliance. Requirement-by-requirement attestations are on the Billing Compliance tab.</t>
  </si>
  <si>
    <t xml:space="preserve">Billing Compliance tab; Proposal s.12</t>
  </si>
  <si>
    <t xml:space="preserve">A10</t>
  </si>
  <si>
    <t xml:space="preserve">Have you read the Netflix Outside Counsel Security Addendum &amp; AI Guidelines and do you accept them as part of your engagement terms?</t>
  </si>
  <si>
    <t xml:space="preserve">Yes. We accept the Addendum as incorporated into our engagement terms, including the 30-day notice mechanism for material changes. Control-by-control attestations are on the Security &amp; AI tab.</t>
  </si>
  <si>
    <t xml:space="preserve">Security &amp; AI tab; Proposal s.13</t>
  </si>
  <si>
    <t xml:space="preserve">A11</t>
  </si>
  <si>
    <t xml:space="preserve">Confirm acceptance of the RFP confidentiality requirements, legal notice, terms and conditions and communication protocol.</t>
  </si>
  <si>
    <t xml:space="preserve">Confirmed. Access to the RFP has been restricted to personnel who need it and who have been informed of the confidentiality requirements; we accept the legal notice and each of the terms and conditions; all RFP communications will go only to legalops-ebilling@netflix.com.</t>
  </si>
  <si>
    <t xml:space="preserve">Declarations tab; Proposal s.17</t>
  </si>
  <si>
    <t xml:space="preserve">A12</t>
  </si>
  <si>
    <t xml:space="preserve">Conflicts</t>
  </si>
  <si>
    <t xml:space="preserve">Disclose any actual or potential conflicts of interest and confirm you will not seek advance, general or litigation waivers.</t>
  </si>
  <si>
    <t xml:space="preserve">A preliminary conflicts review against the RFP scope has identified no conflict that would prevent us from acting. [Confirm outcome of the firm-wide check.] We will disclose any actual or potential conflict promptly and will not seek advance, general or litigation waivers; any waiver request will be submitted for case-by-case consideration by Netflix litigation.</t>
  </si>
  <si>
    <t xml:space="preserve">Proposal s.14</t>
  </si>
  <si>
    <t xml:space="preserve">B. COMMUNICATION</t>
  </si>
  <si>
    <t xml:space="preserve">B1</t>
  </si>
  <si>
    <t xml:space="preserve">Describe your standard response times for new requests, routine advice and urgent matters.</t>
  </si>
  <si>
    <t xml:space="preserve">Acknowledgement of every new request within 2 business hours naming the responsible lawyer and delivery time; routine advice within 1 business day; urgent matters: interim view within 4 hours and full response the same business day; contract first drafts and mark-ups within 48 hours.</t>
  </si>
  <si>
    <t xml:space="preserve">KPIs &amp; SLAs tab</t>
  </si>
  <si>
    <t xml:space="preserve">B2</t>
  </si>
  <si>
    <t xml:space="preserve">How do you translate complex legal issues into practical terms that apply directly to our services and products?</t>
  </si>
  <si>
    <t xml:space="preserve">We lead with the answer. Advice is delivered as a one-page note with a recommendation, a red/amber/green risk rating and the 'so what' for the product; user-flow reviews are annotated on screenshots so product managers and designers can implement them directly; detail goes in an annex only where needed.</t>
  </si>
  <si>
    <t xml:space="preserve">Proposal s.6</t>
  </si>
  <si>
    <t xml:space="preserve">B3</t>
  </si>
  <si>
    <t xml:space="preserve">Who will be Netflix's day-to-day contact and how is escalation handled?</t>
  </si>
  <si>
    <t xml:space="preserve">The relevant practice lead is the day-to-day contact for each area; the Relationship Partner is the single point of accountability and is reachable by phone at all times. Any concern is escalated to the Relationship Partner or directly to the Office Managing Partner, with a response within one business day and a written remediation plan within five.</t>
  </si>
  <si>
    <t xml:space="preserve">Proposal s.4.3</t>
  </si>
  <si>
    <t xml:space="preserve">B4</t>
  </si>
  <si>
    <t xml:space="preserve">How do you ensure clarity and objectivity in your advice?</t>
  </si>
  <si>
    <t xml:space="preserve">Plain English, no unnecessary caveats, an explicit recommendation, a confidence level where the law is unsettled, and a clear distinction between legal risk and business risk. Every deliverable is reviewed by a second lawyer for clarity before it is sent.</t>
  </si>
  <si>
    <t xml:space="preserve">Proposal s.6, s.8.3</t>
  </si>
  <si>
    <t xml:space="preserve">B5</t>
  </si>
  <si>
    <t xml:space="preserve">Describe your approach to coverage across time zones and outside local business hours.</t>
  </si>
  <si>
    <t xml:space="preserve">A dedicated Netflix mailbox routed to a follow-the-sun duty roster across the Dentons network; named deputies for each lead who are already familiar with Netflix's matters; the Relationship Partner available by phone for urgent matters.</t>
  </si>
  <si>
    <t xml:space="preserve">B6</t>
  </si>
  <si>
    <t xml:space="preserve">What regular touchpoints do you propose?</t>
  </si>
  <si>
    <t xml:space="preserve">A fortnightly 30-minute stand-up with Netflix Matter Leads to review open items and upcoming launches; a monthly horizon-scanning briefing; a quarterly business review covering KPIs, spend, staffing, risks and lessons learned.</t>
  </si>
  <si>
    <t xml:space="preserve">Proposal s.6, s.7</t>
  </si>
  <si>
    <t xml:space="preserve">C. TRANSPARENCY</t>
  </si>
  <si>
    <t xml:space="preserve">C1</t>
  </si>
  <si>
    <t xml:space="preserve">Transparency</t>
  </si>
  <si>
    <t xml:space="preserve">How do you communicate risks, limitations and setbacks to clients?</t>
  </si>
  <si>
    <t xml:space="preserve">Every piece of advice carries a written risk rating and confidence level. If we make an error we tell the Matter Lead immediately, correct it at our cost and record it in a shared learnings log. Post-matter debriefs state candidly what went well, what did not and what we would do differently.</t>
  </si>
  <si>
    <t xml:space="preserve">Proposal s.7</t>
  </si>
  <si>
    <t xml:space="preserve">C2</t>
  </si>
  <si>
    <t xml:space="preserve">How do you manage budgets and keep the client informed of costs?</t>
  </si>
  <si>
    <t xml:space="preserve">A written estimate for every matter above 5 hours; an alert to the Matter Lead at 75% of budget; no estimate exceeded without prior approval; real-time spend against budget visible on the Netflix client dashboard; monthly accruals within 10% of actuals.</t>
  </si>
  <si>
    <t xml:space="preserve">Proposal s.7, s.9</t>
  </si>
  <si>
    <t xml:space="preserve">C3</t>
  </si>
  <si>
    <t xml:space="preserve">How do you share key learnings and drive continuous improvement?</t>
  </si>
  <si>
    <t xml:space="preserve">A shared learnings log of regulatory developments, enforcement trends and lessons from Netflix matters, reviewed at each quarterly business review together with a candid self-assessment by the Relationship Partner and an invitation for Netflix feedback on the team and on individual lawyers.</t>
  </si>
  <si>
    <t xml:space="preserve">C4</t>
  </si>
  <si>
    <t xml:space="preserve">Describe how you would report on performance, strategy and opportunities for improvement.</t>
  </si>
  <si>
    <t xml:space="preserve">Monthly KPI reporting in the client dashboard; a quarterly business review with a written pack covering KPI results, spend versus budget, staffing, upcoming risks, strategy recommendations and an improvement plan; annual product legal health check.</t>
  </si>
  <si>
    <t xml:space="preserve">KPIs &amp; SLAs tab; Proposal s.8.2</t>
  </si>
  <si>
    <t xml:space="preserve">D. TECHNICAL QUALITY</t>
  </si>
  <si>
    <t xml:space="preserve">D1</t>
  </si>
  <si>
    <t xml:space="preserve">Technical Quality</t>
  </si>
  <si>
    <t xml:space="preserve">Describe your experience and track record in product and technology law relevant to a global streaming and technology company.</t>
  </si>
  <si>
    <t xml:space="preserve">Practices covering privacy and cybersecurity, consumer protection and advertising, patents and IP, technology and media, commercial contracts and regulatory affairs, with day-to-day experience advising streaming, gaming and platform businesses. Directory rankings and anonymised representative matters: [insert].</t>
  </si>
  <si>
    <t xml:space="preserve">Proposal s.3</t>
  </si>
  <si>
    <t xml:space="preserve">D2</t>
  </si>
  <si>
    <t xml:space="preserve">How do you ensure consistency of legal arguments and positions across matters, lawyers and jurisdictions?</t>
  </si>
  <si>
    <t xml:space="preserve">A Netflix knowledge bank of positions taken, precedents, playbooks and jurisdiction matrices maintained by the Relationship Partner; partner sign-off on all advice; 'one global answer' as the default with local divergence flagged explicitly rather than delivered as separate country memos.</t>
  </si>
  <si>
    <t xml:space="preserve">Proposal s.8.1</t>
  </si>
  <si>
    <t xml:space="preserve">D3</t>
  </si>
  <si>
    <t xml:space="preserve">Describe your capacity for strategic, proactive counsel rather than purely reactive advice.</t>
  </si>
  <si>
    <t xml:space="preserve">Monthly horizon-scanning briefings tagged with the product action each development may require; an annual product legal health check of subscription flows, privacy notices, marketing practices and key templates; early-warning notes on enforcement trends drawn from our wider technology and media work.</t>
  </si>
  <si>
    <t xml:space="preserve">Proposal s.8.2</t>
  </si>
  <si>
    <t xml:space="preserve">D4</t>
  </si>
  <si>
    <t xml:space="preserve">Describe your quality-control process.</t>
  </si>
  <si>
    <t xml:space="preserve">Second-lawyer review of every deliverable; practice-lead review of complex or novel questions; two-attorney QA on all translations with an automated glossary and consistency check; quality tracked through the KPI scorecard including translation error rate and Netflix satisfaction scores.</t>
  </si>
  <si>
    <t xml:space="preserve">Proposal s.8.3</t>
  </si>
  <si>
    <t xml:space="preserve">D5</t>
  </si>
  <si>
    <t xml:space="preserve">Describe your approach to global patent prosecution.</t>
  </si>
  <si>
    <t xml:space="preserve">Invention harvesting with engineering teams, patentability assessment, drafting for software, streaming, encoding, recommendation and device technologies, prosecution before the USPTO, EPO and other offices through Dentons offices and long-standing foreign associates, oppositions and post-grant work, portfolio reviews with automated deadline control and a monthly portfolio report; fixed fees per stage available.</t>
  </si>
  <si>
    <t xml:space="preserve">Proposal s.5.1</t>
  </si>
  <si>
    <t xml:space="preserve">D6</t>
  </si>
  <si>
    <t xml:space="preserve">Describe your approach to data privacy counselling for products.</t>
  </si>
  <si>
    <t xml:space="preserve">Privacy-by-design counselling for features and experiments, DPIAs, consent and lawful-basis architecture for personalization and advertising, children's and age-assurance rules, tracking technologies, cross-border transfers, DPAs, data subject rights, incident response and regulator engagement, delivered in a 'global privacy answer' format with a jurisdiction matrix.</t>
  </si>
  <si>
    <t xml:space="preserve">Proposal s.5.2</t>
  </si>
  <si>
    <t xml:space="preserve">D7</t>
  </si>
  <si>
    <t xml:space="preserve">Describe your approach to consumer protection and marketing compliance.</t>
  </si>
  <si>
    <t xml:space="preserve">Screen-level reviews of subscription, trial, price-change and cancellation flows; terms of use; dark-pattern and choice-architecture trends; games and in-app purchase rules; accessibility; advertising claims, promotions, influencer and disclosure rules; ad-supported tier compliance; a Netflix marketing playbook updated quarterly; fixed-fee campaign pre-clearance.</t>
  </si>
  <si>
    <t xml:space="preserve">Proposal s.5.3, s.5.4</t>
  </si>
  <si>
    <t xml:space="preserve">D8</t>
  </si>
  <si>
    <t xml:space="preserve">Describe your approach to product contracts and commercial negotiations.</t>
  </si>
  <si>
    <t xml:space="preserve">Netflix-approved playbooks and fallback positions; first drafts and mark-ups within 48 hours; capped fees per contract type; a negotiation lead who stays on the deal from kick-off to signature; same-day turnaround in time-sensitive negotiations.</t>
  </si>
  <si>
    <t xml:space="preserve">Proposal s.5.5</t>
  </si>
  <si>
    <t xml:space="preserve">D9</t>
  </si>
  <si>
    <t xml:space="preserve">Describe your approach to regulatory inquiries.</t>
  </si>
  <si>
    <t xml:space="preserve">A single response coordinator, a consistent narrative across jurisdictions, witness preparation, a war-room protocol for short deadlines, and litigation task codes L100–L500 applied if a matter becomes adversarial.</t>
  </si>
  <si>
    <t xml:space="preserve">Proposal s.5.6</t>
  </si>
  <si>
    <t xml:space="preserve">E. TOOLS AND TECHNOLOGY</t>
  </si>
  <si>
    <t xml:space="preserve">E1</t>
  </si>
  <si>
    <t xml:space="preserve">Tools &amp; Technology</t>
  </si>
  <si>
    <t xml:space="preserve">Describe the case or matter management system you would use for Netflix work.</t>
  </si>
  <si>
    <t xml:space="preserve">Every Netflix request is logged as a matter with owner, status, deadline, budget and estimate in our practice management system; Netflix Matter Leads can see status in real time through the client dashboard.</t>
  </si>
  <si>
    <t xml:space="preserve">Proposal s.9</t>
  </si>
  <si>
    <t xml:space="preserve">E2</t>
  </si>
  <si>
    <t xml:space="preserve">Do you provide client dashboards with real-time tracking and performance indicators? Describe.</t>
  </si>
  <si>
    <t xml:space="preserve">Yes. A Netflix client dashboard showing open matters, work in progress, spend against budget by matter and practice area, accrual position, KPI performance and translation throughput; refreshed daily and reviewed at each quarterly business review.</t>
  </si>
  <si>
    <t xml:space="preserve">Proposal s.9; KPIs &amp; SLAs tab</t>
  </si>
  <si>
    <t xml:space="preserve">E3</t>
  </si>
  <si>
    <t xml:space="preserve">How do you use automation to drive productivity?</t>
  </si>
  <si>
    <t xml:space="preserve">Document automation for Netflix templates and playbooks producing first drafts within hours; automated glossary-conformance and consistency checks for translations; automated docketing for patents; a pre-submission compliance check that screens every invoice against the Guidelines before upload to Legal Tracker.</t>
  </si>
  <si>
    <t xml:space="preserve">E4</t>
  </si>
  <si>
    <t xml:space="preserve">Describe your use of artificial intelligence, including generative AI, in delivering legal services.</t>
  </si>
  <si>
    <t xml:space="preserve">Enterprise-grade, approved tools with contractual guarantees that client data is not used to train models, used only where they make work faster or better and always subject to lawyer review. We will consult the Netflix engagement owner before using generative AI on Netflix matters and use only tools approved by the supervising Netflix attorney.</t>
  </si>
  <si>
    <t xml:space="preserve">Proposal s.9.1; Security &amp; AI tab</t>
  </si>
  <si>
    <t xml:space="preserve">E5</t>
  </si>
  <si>
    <t xml:space="preserve">Confirm compliance with the Netflix AI Guidelines, including ABA Formal Opinion 512 and the requirement for advance written consent before using Netflix confidential information in self-learning AI.</t>
  </si>
  <si>
    <t xml:space="preserve">Confirmed. We comply with applicable law, professional guidance (including California State Bar guidance where relevant) and ABA Opinion 512; we will obtain Netflix's advance informed consent in writing (email acceptable) before any Netflix confidential information is used in a self-learning AI system; we monitor AI guidance developments and update our practices.</t>
  </si>
  <si>
    <t xml:space="preserve">Security &amp; AI tab</t>
  </si>
  <si>
    <t xml:space="preserve">E6</t>
  </si>
  <si>
    <t xml:space="preserve">Confirm that AI-driven efficiencies are passed to Netflix and that no unapproved AI fees or costs will be charged.</t>
  </si>
  <si>
    <t xml:space="preserve">Confirmed. Lawyers bill only actual time spent; efficiency gains are never charged for; no fees or costs for AI tools or services will be charged without the prior approval of the supervising Netflix attorney.</t>
  </si>
  <si>
    <t xml:space="preserve">Billing Compliance tab</t>
  </si>
  <si>
    <t xml:space="preserve">E7</t>
  </si>
  <si>
    <t xml:space="preserve">Describe your eBilling capability and experience with Legal Tracker and LEDES.</t>
  </si>
  <si>
    <t xml:space="preserve">LEDES 1998B and 98BI invoices generated directly from our practice management system with Netflix task codes and a PDF backup on letterhead; a named Client Service &amp; Billing Manager administers Legal Tracker submissions, accruals, rate uploads and rejection handling. [Confirm existing Legal Tracker profile.]</t>
  </si>
  <si>
    <t xml:space="preserve">E8</t>
  </si>
  <si>
    <t xml:space="preserve">Describe your secure collaboration and document exchange tools.</t>
  </si>
  <si>
    <t xml:space="preserve">An encrypted client workspace for document exchange with access limited to the Netflix team on a least-privilege basis and full audit logging; Netflix content for translation stays inside Netflix's own tools.</t>
  </si>
  <si>
    <t xml:space="preserve">F. TEAM COMPOSITION</t>
  </si>
  <si>
    <t xml:space="preserve">F1</t>
  </si>
  <si>
    <t xml:space="preserve">Team Composition</t>
  </si>
  <si>
    <t xml:space="preserve">Identify the proposed core team, their roles and their allocation to Netflix.</t>
  </si>
  <si>
    <t xml:space="preserve">Relationship Partner; leads for Privacy &amp; Data, Consumer Protection &amp; Marketing, Patents &amp; IP, Product Contracts &amp; Commercial and the Translation &amp; Localization Desk; a small bench of senior and mid-level associates and attorney-translators; a Client Service &amp; Billing Manager and a Security Point of Contact. Names, titles, admissions, languages and allocations are on the Proposed Team tab.</t>
  </si>
  <si>
    <t xml:space="preserve">Proposed Team tab</t>
  </si>
  <si>
    <t xml:space="preserve">F2</t>
  </si>
  <si>
    <t xml:space="preserve">Describe how the proposed team reflects diversity and inclusion across backgrounds, genders and perspectives.</t>
  </si>
  <si>
    <t xml:space="preserve">The core team has been assembled to reflect diversity of gender, background, nationality, language and career path at both partner and associate level, with diverse team members leading substantive work and client relationships. [Insert current composition statistics for the proposed team.]</t>
  </si>
  <si>
    <t xml:space="preserve">Proposal s.10</t>
  </si>
  <si>
    <t xml:space="preserve">F3</t>
  </si>
  <si>
    <t xml:space="preserve">Will you provide timekeeper representation data in the Legal Tracker rate upload template?</t>
  </si>
  <si>
    <t xml:space="preserve">Yes, where individuals have consented and applicable law permits, as Section II.B of the Guidelines requests.</t>
  </si>
  <si>
    <t xml:space="preserve">F4</t>
  </si>
  <si>
    <t xml:space="preserve">Describe your firm-wide diversity and inclusion policies, programmes and commitments.</t>
  </si>
  <si>
    <t xml:space="preserve">[Insert Dentons KMN and Dentons D&amp;I policies, targets, affinity networks, mentoring and sponsorship programmes, and external commitments or certifications.] We have reviewed and will abide by the Netflix supplier code of conduct.</t>
  </si>
  <si>
    <t xml:space="preserve">F5</t>
  </si>
  <si>
    <t xml:space="preserve">How do you ensure lean and stable staffing, and how are staffing changes handled?</t>
  </si>
  <si>
    <t xml:space="preserve">Core team members are allocated to Netflix on a standing basis; the right level is used for every task; no first- or second-year associates or summer associates without prior approval; one attendee at events unless approved; any change is proposed to the Netflix Matter Lead in advance and Netflix is never charged for transition or 'getting up to speed'.</t>
  </si>
  <si>
    <t xml:space="preserve">F6</t>
  </si>
  <si>
    <t xml:space="preserve">How will you leverage Netflix's in-house legal and business resources?</t>
  </si>
  <si>
    <t xml:space="preserve">We will use Netflix templates, playbooks, precedents and in-house specialists wherever reasonable and cost-effective, and we scope each matter with the Matter Lead so that we add capacity and specialist depth rather than duplicate in-house work.</t>
  </si>
  <si>
    <t xml:space="preserve">Proposal s.2.2, s.4.2</t>
  </si>
  <si>
    <t xml:space="preserve">G. PRICING</t>
  </si>
  <si>
    <t xml:space="preserve">G1</t>
  </si>
  <si>
    <t xml:space="preserve">Pricing</t>
  </si>
  <si>
    <t xml:space="preserve">Provide your proposed hourly rates for each timekeeper level, including any Netflix discount.</t>
  </si>
  <si>
    <t xml:space="preserve">See the Rate Card tab: discounted rates in US dollars by timekeeper level, effective 1 January 2027 and fixed for three years; other Dentons offices carry at least the same percentage discount and are submitted to Legal Tracker for approval before any work is billed.</t>
  </si>
  <si>
    <t xml:space="preserve">Rate Card tab</t>
  </si>
  <si>
    <t xml:space="preserve">G2</t>
  </si>
  <si>
    <t xml:space="preserve">Describe any alternative fee arrangements you propose.</t>
  </si>
  <si>
    <t xml:space="preserve">Six options that Netflix can apply matter by matter: advisory subscription with hour bands; fixed-fee translation per 1,000 words by language tier; capped fees per product contract type; fixed fees per patent stage; fixed-fee campaign pre-clearance; phase-based project fees for regulatory responses. Calculators are on the Fee Model tab.</t>
  </si>
  <si>
    <t xml:space="preserve">Fee Model tab; Proposal s.11.2</t>
  </si>
  <si>
    <t xml:space="preserve">G3</t>
  </si>
  <si>
    <t xml:space="preserve">Describe any volume discounts, rate freezes or performance-based fee elements.</t>
  </si>
  <si>
    <t xml:space="preserve">Volume credit of 2% / 4% / 6% on annual fees above USD 500k / 1.0m / 1.5m; rates fixed for three years; 5% of each quarter's fees at risk and released only if at least four of six KPIs are met; unreleased amounts credited to Netflix.</t>
  </si>
  <si>
    <t xml:space="preserve">Fee Model tab; KPIs &amp; SLAs tab</t>
  </si>
  <si>
    <t xml:space="preserve">G4</t>
  </si>
  <si>
    <t xml:space="preserve">How do you ensure predictability of fees and avoid budget overruns?</t>
  </si>
  <si>
    <t xml:space="preserve">Written estimates for matters above 5 hours; 75% budget alerts; no estimate exceeded without approval; fixed and capped fees for repeatable work; real-time spend visibility on the dashboard; accruals within 10% of actuals.</t>
  </si>
  <si>
    <t xml:space="preserve">Proposal s.7, s.11</t>
  </si>
  <si>
    <t xml:space="preserve">G5</t>
  </si>
  <si>
    <t xml:space="preserve">Confirm that you will not bill any of the fees and expenses listed as prohibited in the Outside Counsel Guidelines.</t>
  </si>
  <si>
    <t xml:space="preserve">Confirmed. None of the items in Section I.F will be billed, and expenses will follow the Netflix travel policy in Section I.G.</t>
  </si>
  <si>
    <t xml:space="preserve">G6</t>
  </si>
  <si>
    <t xml:space="preserve">Confirm your acceptance of Net 45 payment terms and monthly billing via Legal Tracker in LEDES format.</t>
  </si>
  <si>
    <t xml:space="preserve">Confirmed. Monthly LEDES invoices (98B / 98BI) with PDF backup on letterhead, one matter per invoice, submitted within the month following the work; Net 45 from the invoice date.</t>
  </si>
  <si>
    <t xml:space="preserve">G7</t>
  </si>
  <si>
    <t xml:space="preserve">Confirm that onboarding, transition and conflict checks will not be charged to Netflix.</t>
  </si>
  <si>
    <t xml:space="preserve">Confirmed. All onboarding and transition activities in the 90-day plan, conflict checks, bill preparation and internal staff changes are at our cost.</t>
  </si>
  <si>
    <t xml:space="preserve">Proposal s.16</t>
  </si>
  <si>
    <t xml:space="preserve">G8</t>
  </si>
  <si>
    <t xml:space="preserve">Provide an illustrative annual budget based on your assumptions.</t>
  </si>
  <si>
    <t xml:space="preserve">The Fee Model tab contains a budget calculator with editable volume drivers (advisory hours, translated words, contracts, patent filings, campaign reviews, regulatory projects). The illustrative figures are for modelling only and do not constitute a minimum commitment by Netflix.</t>
  </si>
  <si>
    <t xml:space="preserve">Fee Model tab</t>
  </si>
  <si>
    <t xml:space="preserve">Proposed Team</t>
  </si>
  <si>
    <t xml:space="preserve">Core team allocated to Netflix on a standing basis. Yellow cells to be completed by the Relationship Partner. Representation data is provided in the Legal Tracker rate template where consented to and permitted.</t>
  </si>
  <si>
    <t xml:space="preserve">#</t>
  </si>
  <si>
    <t xml:space="preserve">Role on Netflix engagement</t>
  </si>
  <si>
    <t xml:space="preserve">Name</t>
  </si>
  <si>
    <t xml:space="preserve">Title</t>
  </si>
  <si>
    <t xml:space="preserve">Office</t>
  </si>
  <si>
    <t xml:space="preserve">Bar admission(s)</t>
  </si>
  <si>
    <t xml:space="preserve">Year of qualification</t>
  </si>
  <si>
    <t xml:space="preserve">Languages (professional legal proficiency)</t>
  </si>
  <si>
    <t xml:space="preserve">Practice focus</t>
  </si>
  <si>
    <t xml:space="preserve">Proposed allocation to Netflix (%)</t>
  </si>
  <si>
    <t xml:space="preserve">Timekeeper level (Rate Card)</t>
  </si>
  <si>
    <t xml:space="preserve">Named deputy</t>
  </si>
  <si>
    <t xml:space="preserve">Partner</t>
  </si>
  <si>
    <t xml:space="preserve">[City]</t>
  </si>
  <si>
    <t xml:space="preserve">[Jurisdiction]</t>
  </si>
  <si>
    <t xml:space="preserve">[YYYY]</t>
  </si>
  <si>
    <t xml:space="preserve">[English, …]</t>
  </si>
  <si>
    <t xml:space="preserve">Single point of accountability; scoping, staffing, budgets, quality, quarterly business reviews</t>
  </si>
  <si>
    <t xml:space="preserve">Privacy &amp; Data Lead</t>
  </si>
  <si>
    <t xml:space="preserve">[…]</t>
  </si>
  <si>
    <t xml:space="preserve">Product privacy counselling, DPIAs, transfers, regulator engagement, incident response</t>
  </si>
  <si>
    <t xml:space="preserve">Consumer Protection &amp; Marketing Lead</t>
  </si>
  <si>
    <t xml:space="preserve">Subscription and consumer rules, terms of use, advertising, promotions, ad-supported tier</t>
  </si>
  <si>
    <t xml:space="preserve">Patents &amp; IP Lead</t>
  </si>
  <si>
    <t xml:space="preserve">Patent drafting and prosecution strategy, portfolio management, foreign associate coordination</t>
  </si>
  <si>
    <t xml:space="preserve">Product Contracts &amp; Commercial Lead</t>
  </si>
  <si>
    <t xml:space="preserve">Partner / Of Counsel</t>
  </si>
  <si>
    <t xml:space="preserve">Device, platform, licensing, SaaS, DPA negotiations; playbooks; time-sensitive deals</t>
  </si>
  <si>
    <t xml:space="preserve">Of Counsel / Senior Counsel</t>
  </si>
  <si>
    <t xml:space="preserve">Translation &amp; Localization Desk Lead</t>
  </si>
  <si>
    <t xml:space="preserve">Senior Counsel</t>
  </si>
  <si>
    <t xml:space="preserve">Attorney-translator pool, glossary governance, QA workflow, Netflix tool workflow</t>
  </si>
  <si>
    <t xml:space="preserve">Senior Associate – Privacy</t>
  </si>
  <si>
    <t xml:space="preserve">Senior Associate</t>
  </si>
  <si>
    <t xml:space="preserve">DPIAs, DPAs, privacy notices, cookie and tracking reviews</t>
  </si>
  <si>
    <t xml:space="preserve">Senior Associate (6+ years)</t>
  </si>
  <si>
    <t xml:space="preserve">Senior Associate – Consumer &amp; Marketing</t>
  </si>
  <si>
    <t xml:space="preserve">User-flow reviews, campaign pre-clearance, promotions, terms of use</t>
  </si>
  <si>
    <t xml:space="preserve">Associate – Product Contracts</t>
  </si>
  <si>
    <t xml:space="preserve">Associate (3–5 yrs)</t>
  </si>
  <si>
    <t xml:space="preserve">First drafts, mark-ups, playbook maintenance</t>
  </si>
  <si>
    <t xml:space="preserve">Associate (3–5 years)</t>
  </si>
  <si>
    <t xml:space="preserve">Patent Attorney / Agent</t>
  </si>
  <si>
    <t xml:space="preserve">Patent Attorney</t>
  </si>
  <si>
    <t xml:space="preserve">[Jurisdiction / USPTO / EPO]</t>
  </si>
  <si>
    <t xml:space="preserve">Drafting, office action responses, docket management</t>
  </si>
  <si>
    <t xml:space="preserve">Patent Agent / Technical Specialist</t>
  </si>
  <si>
    <t xml:space="preserve">Attorney-Translator (Tier 1 languages)</t>
  </si>
  <si>
    <t xml:space="preserve">Associate</t>
  </si>
  <si>
    <t xml:space="preserve">[Spanish / French / German / Portuguese / Italian …]</t>
  </si>
  <si>
    <t xml:space="preserve">Translation and legal review of product documents</t>
  </si>
  <si>
    <t xml:space="preserve">Attorney-Translator (qualified lawyer)</t>
  </si>
  <si>
    <t xml:space="preserve">Attorney-Translator (Tier 2 languages)</t>
  </si>
  <si>
    <t xml:space="preserve">[Japanese / Korean / Arabic / Polish / Dutch / Turkish …]</t>
  </si>
  <si>
    <t xml:space="preserve">Paralegal</t>
  </si>
  <si>
    <t xml:space="preserve">n/a</t>
  </si>
  <si>
    <t xml:space="preserve">Docketing, formalities, document preparation suited to paralegals</t>
  </si>
  <si>
    <t xml:space="preserve">Client Service &amp; Billing Manager (non-billing)</t>
  </si>
  <si>
    <t xml:space="preserve">Manager</t>
  </si>
  <si>
    <t xml:space="preserve">English</t>
  </si>
  <si>
    <t xml:space="preserve">Legal Tracker, LEDES invoicing, accruals, rate submissions, rejection handling, dashboard</t>
  </si>
  <si>
    <t xml:space="preserve">Not billed</t>
  </si>
  <si>
    <t xml:space="preserve">Security Point of Contact (non-billing)</t>
  </si>
  <si>
    <t xml:space="preserve">CISO / IT Security Lead</t>
  </si>
  <si>
    <t xml:space="preserve">Security Addendum compliance, incident notification, security inquiries</t>
  </si>
  <si>
    <t xml:space="preserve">Notes</t>
  </si>
  <si>
    <t xml:space="preserve">1. No attorney in their first or second year of practice and no summer associate will be staffed on Netflix matters without the prior approval of the Netflix Matter Lead.</t>
  </si>
  <si>
    <t xml:space="preserve">2. Allocation percentages are planning assumptions for a full-scope engagement; actual allocation follows the work Netflix assigns.</t>
  </si>
  <si>
    <t xml:space="preserve">3. Timekeeper IDs, rates and representation data (where consented to and permitted) will be uploaded to Legal Tracker before any invoicing, with rates effective 1 January.</t>
  </si>
  <si>
    <t xml:space="preserve">4. Any change to the core team will be discussed with and approved by the Netflix Matter Lead in advance; Netflix is not charged for transition or for 'getting up to speed'.</t>
  </si>
  <si>
    <t xml:space="preserve">Rate Card</t>
  </si>
  <si>
    <t xml:space="preserve">Indicative discounted hourly rates in USD, effective 1 January 2027 and fixed until 31 December 2029. Yellow cells are inputs; Netflix rate and blended rate are formulas.</t>
  </si>
  <si>
    <t xml:space="preserve">Timekeeper level</t>
  </si>
  <si>
    <t xml:space="preserve">Standard rate (USD/hr)</t>
  </si>
  <si>
    <t xml:space="preserve">Netflix discount (%)</t>
  </si>
  <si>
    <t xml:space="preserve">Netflix rate (USD/hr)</t>
  </si>
  <si>
    <t xml:space="preserve">Expected share of Netflix hours (%)</t>
  </si>
  <si>
    <t xml:space="preserve">Weighted contribution (USD)</t>
  </si>
  <si>
    <t xml:space="preserve">Strategy, sign-off, negotiations, regulator engagement</t>
  </si>
  <si>
    <t xml:space="preserve">Practice leads and translation desk lead</t>
  </si>
  <si>
    <t xml:space="preserve">Principal drafting and advisory work</t>
  </si>
  <si>
    <t xml:space="preserve">Drafting, research, mark-ups</t>
  </si>
  <si>
    <t xml:space="preserve">Applies when translation is billed hourly rather than under the fixed-fee menu</t>
  </si>
  <si>
    <t xml:space="preserve">Patent drafting and prosecution support</t>
  </si>
  <si>
    <t xml:space="preserve">Docketing, formalities; never for attorney-level work</t>
  </si>
  <si>
    <t xml:space="preserve">Check: shares total</t>
  </si>
  <si>
    <t xml:space="preserve">Blended Netflix rate (USD/hr)</t>
  </si>
  <si>
    <t xml:space="preserve">Weighted by the expected share of hours; used in the Fee Model for hourly scenarios</t>
  </si>
  <si>
    <t xml:space="preserve">Average discount from standard rates</t>
  </si>
  <si>
    <t xml:space="preserve">Terms</t>
  </si>
  <si>
    <t xml:space="preserve">Rates are fixed from 1 January 2027 to 31 December 2029. No step or promotion increases apply to partners, principals or of counsel. Any later request is made only within Netflix's annual rate submission window and discussed with the Netflix Matter Lead in advance.</t>
  </si>
  <si>
    <t xml:space="preserve">For litigation matters, rates submitted to a matter in Legal Tracker remain in effect for the life of the matter and for a minimum of three years, per Guidelines s.II.B.</t>
  </si>
  <si>
    <t xml:space="preserve">Rates for lawyers in other Dentons offices carry at least the same percentage discount and are submitted to Legal Tracker for approval before any work is billed.</t>
  </si>
  <si>
    <t xml:space="preserve">Time is recorded in one-tenth-hour increments for actual time spent only. First- and second-year associates and summer associates are not staffed without prior approval and are not on this rate card.</t>
  </si>
  <si>
    <t xml:space="preserve">Source of standard rates: Dentons KMN standard rate schedule [confirm with Finance before submission]. Discounts are proposed specifically for Netflix.</t>
  </si>
  <si>
    <t xml:space="preserve">Fee Model and Illustrative Annual Budget</t>
  </si>
  <si>
    <t xml:space="preserve">Alternative fee arrangements and a calculator Netflix can use to model annual spend. Yellow cells are editable drivers; all totals are formulas. Illustrative volumes are not a minimum commitment by Netflix.</t>
  </si>
  <si>
    <t xml:space="preserve">OPTION A – ADVISORY SUBSCRIPTION (privacy, consumer, marketing and product advisory across the scope)</t>
  </si>
  <si>
    <t xml:space="preserve">Band</t>
  </si>
  <si>
    <t xml:space="preserve">Hours included per month</t>
  </si>
  <si>
    <t xml:space="preserve">Monthly fee (USD)</t>
  </si>
  <si>
    <t xml:space="preserve">Effective rate (USD/hr)</t>
  </si>
  <si>
    <t xml:space="preserve">Overage rate (USD/hr)</t>
  </si>
  <si>
    <t xml:space="preserve">Band A</t>
  </si>
  <si>
    <t xml:space="preserve">Unused hours roll over one quarter; overage at blended Netflix rate less 10%; band reviewed quarterly with the Matter Lead</t>
  </si>
  <si>
    <t xml:space="preserve">Band B</t>
  </si>
  <si>
    <t xml:space="preserve">Band C</t>
  </si>
  <si>
    <t xml:space="preserve">OPTION B – FIXED-FEE TRANSLATION MENU (per 1,000 source words, including second-attorney QA and glossary check)</t>
  </si>
  <si>
    <t xml:space="preserve">Service</t>
  </si>
  <si>
    <t xml:space="preserve">Fee per 1,000 words (USD)</t>
  </si>
  <si>
    <t xml:space="preserve">Rush surcharge (24h)</t>
  </si>
  <si>
    <t xml:space="preserve">Rush fee per 1,000 words (USD)</t>
  </si>
  <si>
    <t xml:space="preserve">Standard turnaround</t>
  </si>
  <si>
    <t xml:space="preserve">Tier 1 languages – attorney translation</t>
  </si>
  <si>
    <t xml:space="preserve">2 business days (≤3,000 words)</t>
  </si>
  <si>
    <t xml:space="preserve">Spanish, French, German, Portuguese, Italian</t>
  </si>
  <si>
    <t xml:space="preserve">Tier 2 languages – attorney translation</t>
  </si>
  <si>
    <t xml:space="preserve">3 business days (≤3,000 words)</t>
  </si>
  <si>
    <t xml:space="preserve">Japanese, Korean, Arabic, Polish, Dutch, Turkish</t>
  </si>
  <si>
    <t xml:space="preserve">Tier 3 languages – attorney translation</t>
  </si>
  <si>
    <t xml:space="preserve">Quoted per project</t>
  </si>
  <si>
    <t xml:space="preserve">Other languages covered through the Dentons network</t>
  </si>
  <si>
    <t xml:space="preserve">Legal review of existing localization (any tier)</t>
  </si>
  <si>
    <t xml:space="preserve">Substantive legal accuracy review of a Netflix-produced translation</t>
  </si>
  <si>
    <t xml:space="preserve">OPTION C – CAPPED FEES FOR PRODUCT CONTRACTS (we absorb time above the cap unless the deal materially changes)</t>
  </si>
  <si>
    <t xml:space="preserve">Contract type</t>
  </si>
  <si>
    <t xml:space="preserve">Cap per contract (USD)</t>
  </si>
  <si>
    <t xml:space="preserve">Typical turnaround</t>
  </si>
  <si>
    <t xml:space="preserve">Assumptions</t>
  </si>
  <si>
    <t xml:space="preserve">Standard SaaS / cloud procurement agreement</t>
  </si>
  <si>
    <t xml:space="preserve">First mark-up in 48 hours</t>
  </si>
  <si>
    <t xml:space="preserve">Netflix paper or playbook positions; up to three negotiation rounds</t>
  </si>
  <si>
    <t xml:space="preserve">Data processing agreement / security schedule</t>
  </si>
  <si>
    <t xml:space="preserve">Netflix template DPA; transfer mechanism included</t>
  </si>
  <si>
    <t xml:space="preserve">Device / platform partnership agreement</t>
  </si>
  <si>
    <t xml:space="preserve">First draft in 48 hours</t>
  </si>
  <si>
    <t xml:space="preserve">Bespoke commercial terms; up to five negotiation rounds</t>
  </si>
  <si>
    <t xml:space="preserve">Technology or content-delivery licence</t>
  </si>
  <si>
    <t xml:space="preserve">Bespoke; IP and indemnity negotiation included</t>
  </si>
  <si>
    <t xml:space="preserve">Developer / API / games distribution terms</t>
  </si>
  <si>
    <t xml:space="preserve">Template creation or update, one jurisdiction; local-law add-ons quoted separately</t>
  </si>
  <si>
    <t xml:space="preserve">OPTION D – FIXED FEES PER PATENT STAGE (official fees and foreign associate charges passed through at cost with invoices attached)</t>
  </si>
  <si>
    <t xml:space="preserve">Stage</t>
  </si>
  <si>
    <t xml:space="preserve">Fee (USD)</t>
  </si>
  <si>
    <t xml:space="preserve">Invention harvesting session and patentability opinion</t>
  </si>
  <si>
    <t xml:space="preserve">Half-day session with engineers plus written opinion</t>
  </si>
  <si>
    <t xml:space="preserve">Drafting and filing – US or EP application</t>
  </si>
  <si>
    <t xml:space="preserve">Specification, claims, drawings coordination, filing formalities</t>
  </si>
  <si>
    <t xml:space="preserve">Office action response</t>
  </si>
  <si>
    <t xml:space="preserve">Substantive response including examiner interview where useful</t>
  </si>
  <si>
    <t xml:space="preserve">Foreign filing coordination (per country)</t>
  </si>
  <si>
    <t xml:space="preserve">Instruction and supervision of foreign associate; associate fees at cost</t>
  </si>
  <si>
    <t xml:space="preserve">Grant formalities and validation (per jurisdiction)</t>
  </si>
  <si>
    <t xml:space="preserve">Issue fee handling, validation, annuity set-up</t>
  </si>
  <si>
    <t xml:space="preserve">OPTIONS E AND F – CAMPAIGN PRE-CLEARANCE AND REGULATORY PROJECT FEES</t>
  </si>
  <si>
    <t xml:space="preserve">Turnaround</t>
  </si>
  <si>
    <t xml:space="preserve">Marketing campaign pre-clearance (single market)</t>
  </si>
  <si>
    <t xml:space="preserve">48 hours</t>
  </si>
  <si>
    <t xml:space="preserve">Defined review scope: claims, disclosures, promotion mechanics, influencer terms</t>
  </si>
  <si>
    <t xml:space="preserve">Marketing campaign pre-clearance (multi-market, up to 5)</t>
  </si>
  <si>
    <t xml:space="preserve">3 business days</t>
  </si>
  <si>
    <t xml:space="preserve">As above with a jurisdiction matrix</t>
  </si>
  <si>
    <t xml:space="preserve">Regulatory information request – Phase 1 (assess and plan)</t>
  </si>
  <si>
    <t xml:space="preserve">Per request deadline</t>
  </si>
  <si>
    <t xml:space="preserve">Scope, strategy, document plan, first meeting with regulator if required</t>
  </si>
  <si>
    <t xml:space="preserve">Regulatory information request – Phase 2 (response)</t>
  </si>
  <si>
    <t xml:space="preserve">Drafting and submission of response, witness preparation; contentious phases billed with L-codes if adversarial</t>
  </si>
  <si>
    <t xml:space="preserve">ILLUSTRATIVE ANNUAL BUDGET CALCULATOR – change the yellow drivers to model Netflix's own volumes</t>
  </si>
  <si>
    <t xml:space="preserve">Line</t>
  </si>
  <si>
    <t xml:space="preserve">Driver (volume)</t>
  </si>
  <si>
    <t xml:space="preserve">Unit price (USD)</t>
  </si>
  <si>
    <t xml:space="preserve">Annual cost (USD)</t>
  </si>
  <si>
    <t xml:space="preserve">Unit</t>
  </si>
  <si>
    <t xml:space="preserve">Basis</t>
  </si>
  <si>
    <t xml:space="preserve">Advisory subscription (Band B)</t>
  </si>
  <si>
    <t xml:space="preserve">months</t>
  </si>
  <si>
    <t xml:space="preserve">Option A, Band B monthly fee</t>
  </si>
  <si>
    <t xml:space="preserve">Translation – Tier 1 languages</t>
  </si>
  <si>
    <t xml:space="preserve">thousand source words</t>
  </si>
  <si>
    <t xml:space="preserve">Option B Tier 1 fee per 1,000 words</t>
  </si>
  <si>
    <t xml:space="preserve">Translation – Tier 2 languages</t>
  </si>
  <si>
    <t xml:space="preserve">Option B Tier 2 fee per 1,000 words</t>
  </si>
  <si>
    <t xml:space="preserve">Legal review of existing localizations</t>
  </si>
  <si>
    <t xml:space="preserve">Option B review fee per 1,000 words</t>
  </si>
  <si>
    <t xml:space="preserve">Product contracts – SaaS / cloud</t>
  </si>
  <si>
    <t xml:space="preserve">contracts</t>
  </si>
  <si>
    <t xml:space="preserve">Option C cap</t>
  </si>
  <si>
    <t xml:space="preserve">Product contracts – DPAs</t>
  </si>
  <si>
    <t xml:space="preserve">Product contracts – platform / device partnerships</t>
  </si>
  <si>
    <t xml:space="preserve">Patents – drafting and filing</t>
  </si>
  <si>
    <t xml:space="preserve">applications</t>
  </si>
  <si>
    <t xml:space="preserve">Option D fixed fee</t>
  </si>
  <si>
    <t xml:space="preserve">Patents – office action responses</t>
  </si>
  <si>
    <t xml:space="preserve">responses</t>
  </si>
  <si>
    <t xml:space="preserve">Campaign pre-clearance (single market)</t>
  </si>
  <si>
    <t xml:space="preserve">campaigns</t>
  </si>
  <si>
    <t xml:space="preserve">Option E fixed fee</t>
  </si>
  <si>
    <t xml:space="preserve">Regulatory requests – Phase 1</t>
  </si>
  <si>
    <t xml:space="preserve">requests</t>
  </si>
  <si>
    <t xml:space="preserve">Option F project fee</t>
  </si>
  <si>
    <t xml:space="preserve">Regulatory requests – Phase 2</t>
  </si>
  <si>
    <t xml:space="preserve">Hourly work outside AFAs (at blended Netflix rate)</t>
  </si>
  <si>
    <t xml:space="preserve">hours</t>
  </si>
  <si>
    <t xml:space="preserve">Rate Card blended rate</t>
  </si>
  <si>
    <t xml:space="preserve">Gross annual fees before credits</t>
  </si>
  <si>
    <t xml:space="preserve">Volume credit thresholds (USD) and rates</t>
  </si>
  <si>
    <t xml:space="preserve">Annual fees above</t>
  </si>
  <si>
    <t xml:space="preserve">Credit applied to total annual fees as a credit note in Q1 of the following year</t>
  </si>
  <si>
    <t xml:space="preserve">Applicable volume credit rate</t>
  </si>
  <si>
    <t xml:space="preserve">Highest threshold exceeded</t>
  </si>
  <si>
    <t xml:space="preserve">Volume credit (USD)</t>
  </si>
  <si>
    <t xml:space="preserve">At-risk fee (% of fees held against KPI scorecard)</t>
  </si>
  <si>
    <t xml:space="preserve">Released each quarter if at least 4 of 6 KPIs are met; unreleased amounts are credited to Netflix</t>
  </si>
  <si>
    <t xml:space="preserve">Maximum at-risk amount (USD)</t>
  </si>
  <si>
    <t xml:space="preserve">Netflix's downside protection if performance targets are missed</t>
  </si>
  <si>
    <t xml:space="preserve">Net annual fees if all KPIs met (USD)</t>
  </si>
  <si>
    <t xml:space="preserve">Gross fees less volume credit</t>
  </si>
  <si>
    <t xml:space="preserve">Net annual fees if no at-risk fee released (USD)</t>
  </si>
  <si>
    <t xml:space="preserve">Floor for Netflix if every quarter misses the KPI threshold</t>
  </si>
  <si>
    <t xml:space="preserve">All figures are indicative and in US dollars; final pricing will be agreed during the October price negotiation. Standard rates and fixed fees are yellow inputs [to be confirmed with Finance before submission].</t>
  </si>
  <si>
    <t xml:space="preserve">Expenses (official fees, foreign associate fees, approved travel) are excluded and are passed through at cost in accordance with Guidelines s.I.D and s.I.G.</t>
  </si>
  <si>
    <t xml:space="preserve">Unused subscription hours roll over one quarter. Capped-fee contracts are re-scoped only if the counterparty materially changes the deal. Rush translation carries the surcharge shown in Option B.</t>
  </si>
  <si>
    <t xml:space="preserve">Items listed as prohibited in Guidelines s.I.F (including onboarding, conflict checks, bill preparation, routine translation of communications and research charges) are never billed under any option.</t>
  </si>
  <si>
    <t xml:space="preserve">Legal Translation &amp; Localization Desk</t>
  </si>
  <si>
    <t xml:space="preserve">Languages, capacity and workflow. Yellow cells to be confirmed by the Translation Desk Lead.</t>
  </si>
  <si>
    <t xml:space="preserve">Language</t>
  </si>
  <si>
    <t xml:space="preserve">Tier</t>
  </si>
  <si>
    <t xml:space="preserve">Jurisdictions / legal systems covered</t>
  </si>
  <si>
    <t xml:space="preserve">Qualified attorney-translators</t>
  </si>
  <si>
    <t xml:space="preserve">Native / near-native speakers</t>
  </si>
  <si>
    <t xml:space="preserve">Standard turnaround (≤3,000 words)</t>
  </si>
  <si>
    <t xml:space="preserve">Works in Netflix tools</t>
  </si>
  <si>
    <t xml:space="preserve">Document types</t>
  </si>
  <si>
    <t xml:space="preserve">Spanish</t>
  </si>
  <si>
    <t xml:space="preserve">Spain, Mexico, Argentina, Colombia, Chile and other Latin American markets</t>
  </si>
  <si>
    <t xml:space="preserve">[n]</t>
  </si>
  <si>
    <t xml:space="preserve">2 business days</t>
  </si>
  <si>
    <t xml:space="preserve">Privacy notices, terms of use, consumer disclosures, subscription and cancellation flows, marketing terms, DPAs, regulator correspondence</t>
  </si>
  <si>
    <t xml:space="preserve">French</t>
  </si>
  <si>
    <t xml:space="preserve">France, Belgium, Switzerland, Canada (Quebec), francophone Africa</t>
  </si>
  <si>
    <t xml:space="preserve">German</t>
  </si>
  <si>
    <t xml:space="preserve">Germany, Austria, Switzerland</t>
  </si>
  <si>
    <t xml:space="preserve">Portuguese</t>
  </si>
  <si>
    <t xml:space="preserve">Brazil, Portugal</t>
  </si>
  <si>
    <t xml:space="preserve">Italian</t>
  </si>
  <si>
    <t xml:space="preserve">Italy</t>
  </si>
  <si>
    <t xml:space="preserve">Japanese</t>
  </si>
  <si>
    <t xml:space="preserve">Japan</t>
  </si>
  <si>
    <t xml:space="preserve">Korean</t>
  </si>
  <si>
    <t xml:space="preserve">Republic of Korea</t>
  </si>
  <si>
    <t xml:space="preserve">Arabic</t>
  </si>
  <si>
    <t xml:space="preserve">UAE, Saudi Arabia, Egypt and other MENA markets</t>
  </si>
  <si>
    <t xml:space="preserve">Polish</t>
  </si>
  <si>
    <t xml:space="preserve">Poland</t>
  </si>
  <si>
    <t xml:space="preserve">Dutch</t>
  </si>
  <si>
    <t xml:space="preserve">Netherlands, Belgium</t>
  </si>
  <si>
    <t xml:space="preserve">Turkish</t>
  </si>
  <si>
    <t xml:space="preserve">Türkiye</t>
  </si>
  <si>
    <t xml:space="preserve">Other languages</t>
  </si>
  <si>
    <t xml:space="preserve">Available through Dentons offices in 80+ countries; quoted per project</t>
  </si>
  <si>
    <t xml:space="preserve">Quoted</t>
  </si>
  <si>
    <t xml:space="preserve">Workflow</t>
  </si>
  <si>
    <t xml:space="preserve">1. Intake in Netflix's localization tool; glossary and reference material check; scope and turnaround confirmed.</t>
  </si>
  <si>
    <t xml:space="preserve">2. Source-language legal lead aligns meaning and legally significant terms across all target languages before translation begins.</t>
  </si>
  <si>
    <t xml:space="preserve">3. Attorney translation, or legal review of an existing Netflix localization, performed inside Netflix's tool.</t>
  </si>
  <si>
    <t xml:space="preserve">4. Independent second-attorney legal QA focused on legal meaning, enforceability, mandatory local-law wording and regulatory terminology.</t>
  </si>
  <si>
    <t xml:space="preserve">5. Automated glossary-conformance and cross-language consistency check; proposed glossary additions sent to Netflix for approval, never applied unilaterally.</t>
  </si>
  <si>
    <t xml:space="preserve">6. Delivery in Netflix's tool with a short substantive-issues note. No stylistic or preferential comments unless requested. Substantive error rate logged per batch and reported quarterly.</t>
  </si>
  <si>
    <t xml:space="preserve">Routine translation of communications is not charged (Guidelines s.I.F). Fees apply only to legal documents Netflix asks us to translate or review; see Fee Model Option B.</t>
  </si>
  <si>
    <t xml:space="preserve">Compliance with the Netflix Outside Counsel Guidelines (updated January 2026)</t>
  </si>
  <si>
    <t xml:space="preserve">Requirement-by-requirement attestation</t>
  </si>
  <si>
    <t xml:space="preserve">Requirement (summary)</t>
  </si>
  <si>
    <t xml:space="preserve">How Dentons KMN complies</t>
  </si>
  <si>
    <t xml:space="preserve">Owner</t>
  </si>
  <si>
    <t xml:space="preserve">I.A</t>
  </si>
  <si>
    <t xml:space="preserve">One invoice per matter; correct eBilling number; no aggregation across matters</t>
  </si>
  <si>
    <t xml:space="preserve">Matter number verified against Legal Tracker before every submission; one invoice per engagement; pre-submission compliance check</t>
  </si>
  <si>
    <t xml:space="preserve">Billing Manager</t>
  </si>
  <si>
    <t xml:space="preserve">I.B</t>
  </si>
  <si>
    <t xml:space="preserve">Monthly invoices via Legal Tracker; one month of fees/expenses per bill; nothing later than 60 days (20% reduction) or 120 days (rejection)</t>
  </si>
  <si>
    <t xml:space="preserve">Month-end close and submission within 30 days of the work; internal alert at 45 days for any unbilled time</t>
  </si>
  <si>
    <t xml:space="preserve">Payment terms Net 45 from invoice date or submission, whichever is later</t>
  </si>
  <si>
    <t xml:space="preserve">Accepted</t>
  </si>
  <si>
    <t xml:space="preserve">Monthly accruals per the Legal Tracker accrual calendar, within 10% of actuals; calculated at currently agreed / approved rates; include 'on hold' invoices</t>
  </si>
  <si>
    <t xml:space="preserve">Accruals compiled from work-in-progress at approved rates and submitted by the calendar deadline; variance to actual tracked as a KPI</t>
  </si>
  <si>
    <t xml:space="preserve">I.C</t>
  </si>
  <si>
    <t xml:space="preserve">LEDES format plus PDF backup on letterhead showing the Netflix entity and address on the billing matter; tax documents for international invoices; correct billing currency</t>
  </si>
  <si>
    <t xml:space="preserve">LEDES 1998B / 98BI generated from the practice management system; PDF on letterhead auto-generated; tax documents uploaded with international invoices; currency determined by billing entity and place of performance</t>
  </si>
  <si>
    <t xml:space="preserve">I.D</t>
  </si>
  <si>
    <t xml:space="preserve">Prior approval before engaging third parties; vendors engaged and paid by the firm; pass-through at cost with vendor invoice attached or referenced</t>
  </si>
  <si>
    <t xml:space="preserve">No third party engaged without written approval from the supervising Netflix attorney; vendor invoices attached with services, dates, rates and totals</t>
  </si>
  <si>
    <t xml:space="preserve">Practice Leads</t>
  </si>
  <si>
    <t xml:space="preserve">I.E</t>
  </si>
  <si>
    <t xml:space="preserve">Time in 0.1-hour increments; entries identify parties (incl. Netflix participants) and action taken; no vague entries</t>
  </si>
  <si>
    <t xml:space="preserve">Time-entry standard enforced through the practice management system with a vague-entry check before invoicing</t>
  </si>
  <si>
    <t xml:space="preserve">All timekeepers</t>
  </si>
  <si>
    <t xml:space="preserve">Litigation matters: one entry per day with per-task times in parentheses; only L100–L500 phase codes; split by phase; separate entries per motion type</t>
  </si>
  <si>
    <t xml:space="preserve">Litigation billing template configured with the five approved codes; motion-specific descriptions required</t>
  </si>
  <si>
    <t xml:space="preserve">I.F</t>
  </si>
  <si>
    <t xml:space="preserve">No billing of prohibited fees and expenses (administrative work, attorney time on paralegal tasks, getting up to speed, bill preparation, conflict checks, routine translation of communications, non-working travel, phone/fax/word processing, copies above limits, publications, online research, overhead, 1st/2nd-year associates and summer associates without approval, multiple attendees without approval, unauthorized third-party fees, overtime/after-hours costs, travel agency fees, remote-working expenses)</t>
  </si>
  <si>
    <t xml:space="preserve">Prohibited codes blocked in the billing system; pre-submission review removes any residual items; anti-corruption compliance on every expense</t>
  </si>
  <si>
    <t xml:space="preserve">I.G</t>
  </si>
  <si>
    <t xml:space="preserve">Travel: coach air, reasonable hotels, no local (~50 miles) meals, reasonable ground transport (no town cars), receipts above USD 75</t>
  </si>
  <si>
    <t xml:space="preserve">Netflix travel policy loaded into the expense system; receipts attached above USD 75; prior approval sought for any exception</t>
  </si>
  <si>
    <t xml:space="preserve">I.H</t>
  </si>
  <si>
    <t xml:space="preserve">Rejected invoices corrected and resubmitted within 15 calendar days using the same bill number with an 'R' suffix; all reasons addressed</t>
  </si>
  <si>
    <t xml:space="preserve">Rejection workflow with a 5-day internal target; resubmission numbered per Netflix convention</t>
  </si>
  <si>
    <t xml:space="preserve">I.I</t>
  </si>
  <si>
    <t xml:space="preserve">Consult Netflix engagement owner before using generative AI; bill actual time; no unapproved AI fees or costs</t>
  </si>
  <si>
    <t xml:space="preserve">AI use policy for Netflix matters; approved-tool list; no AI cost lines on any invoice without prior approval</t>
  </si>
  <si>
    <t xml:space="preserve">II.A</t>
  </si>
  <si>
    <t xml:space="preserve">Lean, stable and diverse staffing; changes approved by the Matter Lead; leverage Netflix in-house resources</t>
  </si>
  <si>
    <t xml:space="preserve">Core team allocated on a standing basis; changes proposed in advance; Netflix templates and in-house specialists used where cost-effective</t>
  </si>
  <si>
    <t xml:space="preserve">II.B</t>
  </si>
  <si>
    <t xml:space="preserve">All rates submitted to Legal Tracker for approval before invoicing, with timekeeper detail and negotiated discounts; effective date aligned to fiscal year (1 January); rate requests only in the annual window; no step increases for partners / principals / of counsel; litigation rates fixed for the matter (min. 3 years)</t>
  </si>
  <si>
    <t xml:space="preserve">Rate upload per the Rate Sheet Specifications before any invoicing; three-year rate freeze; any later request within the annual window and discussed with the Matter Lead first</t>
  </si>
  <si>
    <t xml:space="preserve">Timekeeper representation data included in the rate upload template where consented to and allowed</t>
  </si>
  <si>
    <t xml:space="preserve">Consent collected from each timekeeper; data uploaded where permitted by applicable law</t>
  </si>
  <si>
    <t xml:space="preserve">III.A</t>
  </si>
  <si>
    <t xml:space="preserve">Disclose actual or potential conflicts; no advance, general or litigation waivers; waivers only case by case, approved by Netflix litigation</t>
  </si>
  <si>
    <t xml:space="preserve">Conflicts check on engagement and on every new matter; prompt disclosure; no blanket waivers requested</t>
  </si>
  <si>
    <t xml:space="preserve">III.B</t>
  </si>
  <si>
    <t xml:space="preserve">No public comment on the representation or matters (press, awards, websites) without written authorization</t>
  </si>
  <si>
    <t xml:space="preserve">Netflix flagged as 'no publicity' in the firm's marketing and awards systems</t>
  </si>
  <si>
    <t xml:space="preserve">Intro</t>
  </si>
  <si>
    <t xml:space="preserve">Abide by the Netflix supplier code of conduct</t>
  </si>
  <si>
    <t xml:space="preserve">Reviewed and accepted; flowed down to any third party engaged on Netflix's behalf</t>
  </si>
  <si>
    <t xml:space="preserve">Outside Counsel Security Addendum &amp; AI Guidelines – Control Attestation</t>
  </si>
  <si>
    <t xml:space="preserve">Section-by-section response. The Security Point of Contact should verify each control description before submission.</t>
  </si>
  <si>
    <t xml:space="preserve">Addendum requirement</t>
  </si>
  <si>
    <t xml:space="preserve">Compliant?</t>
  </si>
  <si>
    <t xml:space="preserve">Dentons KMN control / practice</t>
  </si>
  <si>
    <t xml:space="preserve">Evidence available on request</t>
  </si>
  <si>
    <t xml:space="preserve">1</t>
  </si>
  <si>
    <t xml:space="preserve">Maintain the security controls set out in the Addendum to protect Netflix data</t>
  </si>
  <si>
    <t xml:space="preserve">Addendum accepted as part of engagement terms; controls below maintained under the firm's Comprehensive Information Security Program</t>
  </si>
  <si>
    <t xml:space="preserve">Information security policy</t>
  </si>
  <si>
    <t xml:space="preserve">2</t>
  </si>
  <si>
    <t xml:space="preserve">Documented Comprehensive Information Security Program with administrative, physical and technical controls appropriate to risk</t>
  </si>
  <si>
    <t xml:space="preserve">Documented programme reviewed annually; [insert ISO/IEC 27001 or equivalent certification and date of last independent audit]</t>
  </si>
  <si>
    <t xml:space="preserve">Certificate; audit summary</t>
  </si>
  <si>
    <t xml:space="preserve">2(a)</t>
  </si>
  <si>
    <t xml:space="preserve">Written policies, standards and procedures for secure processing of Netflix data</t>
  </si>
  <si>
    <t xml:space="preserve">Information security policy suite; client-data handling standard applied to all Netflix matters</t>
  </si>
  <si>
    <t xml:space="preserve">Policy index</t>
  </si>
  <si>
    <t xml:space="preserve">2(b)</t>
  </si>
  <si>
    <t xml:space="preserve">Measures to identify and mitigate internal workforce risks</t>
  </si>
  <si>
    <t xml:space="preserve">Background screening, confidentiality undertakings, role-based access, joiner-mover-leaver process, insider-risk monitoring</t>
  </si>
  <si>
    <t xml:space="preserve">HR and access policies</t>
  </si>
  <si>
    <t xml:space="preserve">2(c)</t>
  </si>
  <si>
    <t xml:space="preserve">Logical or physical separation of Netflix data from firm and other-client data</t>
  </si>
  <si>
    <t xml:space="preserve">Matter-centric document management with ethical walls; Netflix matters restricted to the named team</t>
  </si>
  <si>
    <t xml:space="preserve">DMS configuration</t>
  </si>
  <si>
    <t xml:space="preserve">2(d)</t>
  </si>
  <si>
    <t xml:space="preserve">Regular security reviews, assessments, testing or audits</t>
  </si>
  <si>
    <t xml:space="preserve">Annual independent audit and penetration test; quarterly vulnerability scans; findings tracked to closure</t>
  </si>
  <si>
    <t xml:space="preserve">Latest pen-test summary</t>
  </si>
  <si>
    <t xml:space="preserve">2(e)</t>
  </si>
  <si>
    <t xml:space="preserve">Perimeter protection and/or zero trust architecture</t>
  </si>
  <si>
    <t xml:space="preserve">Next-generation firewalls, conditional access and device-compliance policies, network segmentation</t>
  </si>
  <si>
    <t xml:space="preserve">Architecture overview</t>
  </si>
  <si>
    <t xml:space="preserve">2(f)</t>
  </si>
  <si>
    <t xml:space="preserve">Inventory of physical assets and remote device management</t>
  </si>
  <si>
    <t xml:space="preserve">Central asset register; mobile device management with remote lock and wipe on every device able to access Netflix data</t>
  </si>
  <si>
    <t xml:space="preserve">MDM policy</t>
  </si>
  <si>
    <t xml:space="preserve">2(g)</t>
  </si>
  <si>
    <t xml:space="preserve">Software and systems kept up to date; protection against malware and harmful code</t>
  </si>
  <si>
    <t xml:space="preserve">Managed patching, endpoint detection and response, email and web filtering</t>
  </si>
  <si>
    <t xml:space="preserve">Patch and EDR reports</t>
  </si>
  <si>
    <t xml:space="preserve">2(h)</t>
  </si>
  <si>
    <t xml:space="preserve">Timely patching of identified vulnerabilities</t>
  </si>
  <si>
    <t xml:space="preserve">Critical patches within 7 days, high within 30 days, tracked through vulnerability management</t>
  </si>
  <si>
    <t xml:space="preserve">Vulnerability SLA</t>
  </si>
  <si>
    <t xml:space="preserve">2(i)</t>
  </si>
  <si>
    <t xml:space="preserve">Safe coding practices where applicable</t>
  </si>
  <si>
    <t xml:space="preserve">Secure development standards for in-house automation; third-party software assessed before use</t>
  </si>
  <si>
    <t xml:space="preserve">SDLC standard</t>
  </si>
  <si>
    <t xml:space="preserve">2(j)</t>
  </si>
  <si>
    <t xml:space="preserve">Change management for software and hardware environments</t>
  </si>
  <si>
    <t xml:space="preserve">Formal change-control board with risk assessment and roll-back planning</t>
  </si>
  <si>
    <t xml:space="preserve">Change policy</t>
  </si>
  <si>
    <t xml:space="preserve">2(k)</t>
  </si>
  <si>
    <t xml:space="preserve">Maintain and monitor logs to identify anomalies and risks</t>
  </si>
  <si>
    <t xml:space="preserve">Centralised logging with 24x7 security monitoring and alerting</t>
  </si>
  <si>
    <t xml:space="preserve">SOC overview</t>
  </si>
  <si>
    <t xml:space="preserve">2(l)</t>
  </si>
  <si>
    <t xml:space="preserve">Access, transfer and storage of Netflix data only with up-to-date encryption, pseudonymisation or equivalent</t>
  </si>
  <si>
    <t xml:space="preserve">TLS 1.2+ in transit, AES-256 at rest, encrypted client workspace for transfers; pseudonymisation where practicable</t>
  </si>
  <si>
    <t xml:space="preserve">Encryption standard</t>
  </si>
  <si>
    <t xml:space="preserve">2(m)</t>
  </si>
  <si>
    <t xml:space="preserve">No Netflix data on unencrypted removable storage</t>
  </si>
  <si>
    <t xml:space="preserve">Removable media blocked by policy and endpoint controls; exceptions require encryption and approval</t>
  </si>
  <si>
    <t xml:space="preserve">Endpoint policy</t>
  </si>
  <si>
    <t xml:space="preserve">2(n)</t>
  </si>
  <si>
    <t xml:space="preserve">Least-privilege access to systems and facilities holding Netflix data</t>
  </si>
  <si>
    <t xml:space="preserve">Access limited to the named Netflix team; quarterly access reviews</t>
  </si>
  <si>
    <t xml:space="preserve">Access review log</t>
  </si>
  <si>
    <t xml:space="preserve">2(o)</t>
  </si>
  <si>
    <t xml:space="preserve">Multi-factor, passwordless/passkey or equivalent authentication</t>
  </si>
  <si>
    <t xml:space="preserve">MFA enforced firm-wide; passkeys being rolled out; privileged access managed separately</t>
  </si>
  <si>
    <t xml:space="preserve">IAM policy</t>
  </si>
  <si>
    <t xml:space="preserve">2(p)</t>
  </si>
  <si>
    <t xml:space="preserve">Processes to detect and remediate security incidents in a timely manner</t>
  </si>
  <si>
    <t xml:space="preserve">Documented incident response plan tested annually</t>
  </si>
  <si>
    <t xml:space="preserve">IR plan summary</t>
  </si>
  <si>
    <t xml:space="preserve">2(q)</t>
  </si>
  <si>
    <t xml:space="preserve">Business continuity and disaster recovery controls</t>
  </si>
  <si>
    <t xml:space="preserve">Documented and tested BC/DR plans with geographically separate backups and defined recovery objectives</t>
  </si>
  <si>
    <t xml:space="preserve">BC/DR summary</t>
  </si>
  <si>
    <t xml:space="preserve">2(r)</t>
  </si>
  <si>
    <t xml:space="preserve">Workforce education and training; confidentiality obligations</t>
  </si>
  <si>
    <t xml:space="preserve">Mandatory annual security and privacy training, phishing simulations, confidentiality obligations in every employment and engagement contract</t>
  </si>
  <si>
    <t xml:space="preserve">Training records</t>
  </si>
  <si>
    <t xml:space="preserve">2(s)</t>
  </si>
  <si>
    <t xml:space="preserve">Third parties, affiliates and sub-processors held to substantially equivalent measures</t>
  </si>
  <si>
    <t xml:space="preserve">Vendor security due diligence and contractual flow-down; sub-processor list available to Netflix on request</t>
  </si>
  <si>
    <t xml:space="preserve">Vendor policy; sub-processor list</t>
  </si>
  <si>
    <t xml:space="preserve">3</t>
  </si>
  <si>
    <t xml:space="preserve">Named security point of contact, kept current</t>
  </si>
  <si>
    <t xml:space="preserve">[Name, title, email, telephone]; Netflix's contact vendorsecurity@netflix.com recorded</t>
  </si>
  <si>
    <t xml:space="preserve">Contact sheet</t>
  </si>
  <si>
    <t xml:space="preserve">4</t>
  </si>
  <si>
    <t xml:space="preserve">Access to Netflix systems only for the engaged services and only as long as necessary; comply with Netflix security protections; responsibility for credentials; Netflix may terminate access at any time</t>
  </si>
  <si>
    <t xml:space="preserve">Access requested only when needed for the services and relinquished on completion; credentials never shared; Netflix protections observed</t>
  </si>
  <si>
    <t xml:space="preserve">Access procedure</t>
  </si>
  <si>
    <t xml:space="preserve">5</t>
  </si>
  <si>
    <t xml:space="preserve">Cooperate with Netflix inquiries; provide documentation and metrics on the security programme</t>
  </si>
  <si>
    <t xml:space="preserve">Security questionnaires answered within 10 business days; documentation and metrics provided on request</t>
  </si>
  <si>
    <t xml:space="preserve">Prior questionnaire responses</t>
  </si>
  <si>
    <t xml:space="preserve">6</t>
  </si>
  <si>
    <t xml:space="preserve">Security incident response plan; detailed written notice to vendorsecurity@netflix.com and legalops-ebilling@netflix.com within 48 hours of discovery (including affiliates and sub-processors); containment and prevention at the firm's cost; documentation to Netflix, insurers and counsel; consult Netflix on any legally required notice</t>
  </si>
  <si>
    <t xml:space="preserve">48-hour notification commitment (internal target 24 hours) built into the incident response plan with Netflix contacts pre-loaded; root-cause analysis and remediation at our cost; consultation on any Data Breach notice</t>
  </si>
  <si>
    <t xml:space="preserve">IR plan; notification template</t>
  </si>
  <si>
    <t xml:space="preserve">AI (1)</t>
  </si>
  <si>
    <t xml:space="preserve">Comply with applicable laws and regulations on AI use</t>
  </si>
  <si>
    <t xml:space="preserve">AI use policy reviewed by the firm's risk and compliance function</t>
  </si>
  <si>
    <t xml:space="preserve">AI policy</t>
  </si>
  <si>
    <t xml:space="preserve">AI (2)</t>
  </si>
  <si>
    <t xml:space="preserve">Comply with professional and regulatory guidance, including California State Bar Practical Guidance where applicable</t>
  </si>
  <si>
    <t xml:space="preserve">Guidance tracked and incorporated into the AI use policy and training</t>
  </si>
  <si>
    <t xml:space="preserve">AI policy; training records</t>
  </si>
  <si>
    <t xml:space="preserve">AI (3)</t>
  </si>
  <si>
    <t xml:space="preserve">Comply with ABA Formal Opinion 512 whether or not formally applicable</t>
  </si>
  <si>
    <t xml:space="preserve">Opinion 512 competence, confidentiality, communication, supervision and fee requirements built into the policy</t>
  </si>
  <si>
    <t xml:space="preserve">AI</t>
  </si>
  <si>
    <t xml:space="preserve">Stay abreast of AI Guidance developments and modify practices to maintain conformance</t>
  </si>
  <si>
    <t xml:space="preserve">Quarterly review of AI guidance developments by the risk and compliance function</t>
  </si>
  <si>
    <t xml:space="preserve">Review log</t>
  </si>
  <si>
    <t xml:space="preserve">Advance informed written consent (email acceptable) before using Netflix confidential information in any self-learning AI</t>
  </si>
  <si>
    <t xml:space="preserve">No Netflix confidential information is used in self-learning AI without written consent from the Netflix engagement owner; approved tools contractually exclude training on client data</t>
  </si>
  <si>
    <t xml:space="preserve">Consent template; tool contracts</t>
  </si>
  <si>
    <t xml:space="preserve">Service Levels and Key Performance Indicators</t>
  </si>
  <si>
    <t xml:space="preserve">Reported monthly in the Netflix client dashboard and reviewed at each quarterly business review. The at-risk fee is released when at least 4 of 6 KPIs are met in the quarter.</t>
  </si>
  <si>
    <t xml:space="preserve">Measure</t>
  </si>
  <si>
    <t xml:space="preserve">Target</t>
  </si>
  <si>
    <t xml:space="preserve">How measured</t>
  </si>
  <si>
    <t xml:space="preserve">Reporting cadence</t>
  </si>
  <si>
    <t xml:space="preserve">Linked to at-risk fee?</t>
  </si>
  <si>
    <t xml:space="preserve">Responsiveness</t>
  </si>
  <si>
    <t xml:space="preserve">95% of requests acknowledged within 2 business hours; 90% of routine advice within 1 business day; urgent items: interim view within 4 hours, full response same business day</t>
  </si>
  <si>
    <t xml:space="preserve">Matter system timestamps</t>
  </si>
  <si>
    <t xml:space="preserve">Monthly</t>
  </si>
  <si>
    <t xml:space="preserve">Budget accuracy</t>
  </si>
  <si>
    <t xml:space="preserve">Final fees within 10% of the written estimate on 90% of matters; 75% budget alert issued on every matter</t>
  </si>
  <si>
    <t xml:space="preserve">Estimate vs invoiced fees per matter</t>
  </si>
  <si>
    <t xml:space="preserve">Accrual accuracy</t>
  </si>
  <si>
    <t xml:space="preserve">Monthly accruals within 10% of actual invoices</t>
  </si>
  <si>
    <t xml:space="preserve">Legal Tracker accrual vs invoice</t>
  </si>
  <si>
    <t xml:space="preserve">Invoice quality</t>
  </si>
  <si>
    <t xml:space="preserve">At least 95% of invoices accepted first time in Legal Tracker; resubmissions within 15 days</t>
  </si>
  <si>
    <t xml:space="preserve">Legal Tracker rejection data</t>
  </si>
  <si>
    <t xml:space="preserve">Translation quality and timeliness</t>
  </si>
  <si>
    <t xml:space="preserve">Substantive error rate below 1% of segments; 95% of deliveries on time</t>
  </si>
  <si>
    <t xml:space="preserve">QA log and delivery timestamps</t>
  </si>
  <si>
    <t xml:space="preserve">Netflix satisfaction</t>
  </si>
  <si>
    <t xml:space="preserve">Average score of at least 4.5 / 5 from Netflix Matter Leads</t>
  </si>
  <si>
    <t xml:space="preserve">Quarterly survey</t>
  </si>
  <si>
    <t xml:space="preserve">Quarterly</t>
  </si>
  <si>
    <t xml:space="preserve">SLA</t>
  </si>
  <si>
    <t xml:space="preserve">Contract drafting</t>
  </si>
  <si>
    <t xml:space="preserve">First drafts and mark-ups within 48 hours; same day in time-sensitive negotiations</t>
  </si>
  <si>
    <t xml:space="preserve">No</t>
  </si>
  <si>
    <t xml:space="preserve">Security incident notification</t>
  </si>
  <si>
    <t xml:space="preserve">Within 48 hours of discovery (internal target 24 hours)</t>
  </si>
  <si>
    <t xml:space="preserve">Incident log</t>
  </si>
  <si>
    <t xml:space="preserve">Per incident</t>
  </si>
  <si>
    <t xml:space="preserve">Security inquiry response</t>
  </si>
  <si>
    <t xml:space="preserve">Within 10 business days</t>
  </si>
  <si>
    <t xml:space="preserve">Correspondence log</t>
  </si>
  <si>
    <t xml:space="preserve">Per inquiry</t>
  </si>
  <si>
    <t xml:space="preserve">Service complaint</t>
  </si>
  <si>
    <t xml:space="preserve">Response within 1 business day; written remediation plan within 5</t>
  </si>
  <si>
    <t xml:space="preserve">Relationship Partner log</t>
  </si>
  <si>
    <t xml:space="preserve">Per complaint</t>
  </si>
  <si>
    <t xml:space="preserve">Horizon scanning</t>
  </si>
  <si>
    <t xml:space="preserve">Monthly briefing tagged with product actions</t>
  </si>
  <si>
    <t xml:space="preserve">Delivery record</t>
  </si>
  <si>
    <t xml:space="preserve">Quarterly business review</t>
  </si>
  <si>
    <t xml:space="preserve">Written pack delivered 5 business days before the meeting</t>
  </si>
  <si>
    <t xml:space="preserve">Clarifications and Assumptions</t>
  </si>
  <si>
    <t xml:space="preserve">Assumptions made in preparing this response, and points on which Netflix guidance would allow us to refine the proposal during the interview period. Update with any questions submitted on 3 September and Netflix's 9 September answers.</t>
  </si>
  <si>
    <t xml:space="preserve">Topic</t>
  </si>
  <si>
    <t xml:space="preserve">Assumption or clarification sought</t>
  </si>
  <si>
    <t xml:space="preserve">Impact on the response</t>
  </si>
  <si>
    <t xml:space="preserve">Engagement term</t>
  </si>
  <si>
    <t xml:space="preserve">Initial term of twelve months from award, renewable; work allocated by Netflix Matter Leads matter by matter.</t>
  </si>
  <si>
    <t xml:space="preserve">Rate freeze and volume credits are structured around a multi-year relationship.</t>
  </si>
  <si>
    <t xml:space="preserve">Volumes</t>
  </si>
  <si>
    <t xml:space="preserve">The RFP gives no matter-level volumes. Illustrative volumes in the Fee Model are modelling assumptions only and not a minimum commitment by Netflix.</t>
  </si>
  <si>
    <t xml:space="preserve">Netflix can change the yellow drivers to test scenarios; final pricing to be agreed in October.</t>
  </si>
  <si>
    <t xml:space="preserve">Billing currency and entity</t>
  </si>
  <si>
    <t xml:space="preserve">USD by default; another currency where the Netflix billing entity or place of performance requires it, as the Guidelines contemplate.</t>
  </si>
  <si>
    <t xml:space="preserve">Rates for other Dentons offices submitted to Legal Tracker in the relevant currency.</t>
  </si>
  <si>
    <t xml:space="preserve">Translation volumes and languages</t>
  </si>
  <si>
    <t xml:space="preserve">Priority languages assumed to be Netflix's largest non-English markets; Tier 3 languages quoted per project.</t>
  </si>
  <si>
    <t xml:space="preserve">Confirmation of priority languages would allow a firmer per-language capacity table.</t>
  </si>
  <si>
    <t xml:space="preserve">Netflix tools</t>
  </si>
  <si>
    <t xml:space="preserve">Attorney-translators will receive access to Netflix's translation and localization tools and glossary on award; onboarding to those tools is at our cost.</t>
  </si>
  <si>
    <t xml:space="preserve">Turnaround commitments assume tool access is in place within ten days of award.</t>
  </si>
  <si>
    <t xml:space="preserve">Legal Tracker</t>
  </si>
  <si>
    <t xml:space="preserve">[Confirm whether the firm already has a Legal Tracker profile; if not, we will contact legalops-ebilling@netflix.com on award.]</t>
  </si>
  <si>
    <t xml:space="preserve">No impact on pricing or timing.</t>
  </si>
  <si>
    <t xml:space="preserve">7</t>
  </si>
  <si>
    <t xml:space="preserve">Firm questions submitted 3 September</t>
  </si>
  <si>
    <t xml:space="preserve">[Insert any questions the firm submitted and Netflix's 9 September responses, if applicable.]</t>
  </si>
  <si>
    <t xml:space="preserve">[Update the response accordingly.]</t>
  </si>
  <si>
    <t xml:space="preserve">Declarations and Acceptance of RFP Terms</t>
  </si>
  <si>
    <t xml:space="preserve">To be confirmed by the authorised signatory</t>
  </si>
  <si>
    <t xml:space="preserve">Declaration</t>
  </si>
  <si>
    <t xml:space="preserve">Confirmed</t>
  </si>
  <si>
    <t xml:space="preserve">We have treated the RFP as strictly confidential and restricted disclosure to authorised personnel who have been informed of the confidentiality requirements, are committed to preventing unauthorised disclosure, and require access solely to evaluate and respond to the RFP.</t>
  </si>
  <si>
    <t xml:space="preserve">We acknowledge that Netflix assumes no obligation or liability arising from the RFP process, may decline to enter into any agreement for any reason or no reason, and may consider any factors it deems relevant in selecting firms.</t>
  </si>
  <si>
    <t xml:space="preserve">We accept that Netflix may reject any or all proposals, or cancel or modify the RFP at any time, at its sole discretion.</t>
  </si>
  <si>
    <t xml:space="preserve">We accept that Netflix is not obliged to accept the lowest-priced proposal.</t>
  </si>
  <si>
    <t xml:space="preserve">We accept that Netflix is not liable for any expense we incur in preparing or submitting this response.</t>
  </si>
  <si>
    <t xml:space="preserve">We acknowledge that the RFP grants no right to use the name 'Netflix', the Netflix logo, or any intellectual property related to any Netflix content, for any purpose.</t>
  </si>
  <si>
    <t xml:space="preserve">We will promptly return or destroy all RFP documentation and materials on Netflix's request.</t>
  </si>
  <si>
    <t xml:space="preserve">8</t>
  </si>
  <si>
    <t xml:space="preserve">We accept that Netflix's decisions are final and that we have no right of protest or appeal.</t>
  </si>
  <si>
    <t xml:space="preserve">9</t>
  </si>
  <si>
    <t xml:space="preserve">We have directed, and will direct, all questions and communications about this RFP only to legalops-ebilling@netflix.com.</t>
  </si>
  <si>
    <t xml:space="preserve">10</t>
  </si>
  <si>
    <t xml:space="preserve">We have read and will comply with the Netflix 2026 Outside Counsel Guidelines and the Netflix supplier code of conduct.</t>
  </si>
  <si>
    <t xml:space="preserve">11</t>
  </si>
  <si>
    <t xml:space="preserve">We accept the Netflix Outside Counsel Security Addendum &amp; AI Guidelines as part of our engagement terms.</t>
  </si>
  <si>
    <t xml:space="preserve">12</t>
  </si>
  <si>
    <t xml:space="preserve">The information in this response is accurate and complete to the best of our knowledge, and the signatory below is authorised to submit it on behalf of Dentons KMN.</t>
  </si>
  <si>
    <t xml:space="preserve">Authorised signatory: [Name]</t>
  </si>
  <si>
    <t xml:space="preserve">Title: [Relationship Partner / Managing Partner]</t>
  </si>
  <si>
    <t xml:space="preserve">Firm: Dentons KMN</t>
  </si>
  <si>
    <t xml:space="preserve">Date: 14 September 2026</t>
  </si>
  <si>
    <t xml:space="preserve">Signature: [Electronic signature]</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</si>
</sst>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
    <numFmt numFmtId="169" formatCode="#,##0"/>
    <numFmt numFmtId="170" formatCode="\$#,##0;&quot;($&quot;#,##0\);\-"/>
  </numFmts>
  <fonts count="11">
    <font>
      <sz val="11"/>
      <color theme="1"/>
      <name val="Calibri"/>
      <family val="2"/>
      <charset val="1"/>
    </font>
    <font>
      <sz val="10"/>
      <name val="Arial"/>
      <family val="0"/>
    </font>
    <font>
      <sz val="10"/>
      <name val="Arial"/>
      <family val="0"/>
    </font>
    <font>
      <sz val="10"/>
      <name val="Arial"/>
      <family val="0"/>
    </font>
    <font>
      <b val="true"/>
      <sz val="16"/>
      <color rgb="FF5B2A86"/>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color rgb="FF5B2A86"/>
      <name val="Arial"/>
      <family val="0"/>
      <charset val="1"/>
    </font>
  </fonts>
  <fills count="6">
    <fill>
      <patternFill patternType="none"/>
    </fill>
    <fill>
      <patternFill patternType="gray125"/>
    </fill>
    <fill>
      <patternFill patternType="solid">
        <fgColor rgb="FF5B2A86"/>
        <bgColor rgb="FF660066"/>
      </patternFill>
    </fill>
    <fill>
      <patternFill patternType="solid">
        <fgColor rgb="FFF2F2F2"/>
        <bgColor rgb="FFEFE9F5"/>
      </patternFill>
    </fill>
    <fill>
      <patternFill patternType="solid">
        <fgColor rgb="FFFFF200"/>
        <bgColor rgb="FFFFFF00"/>
      </patternFill>
    </fill>
    <fill>
      <patternFill patternType="solid">
        <fgColor rgb="FFEFE9F5"/>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8" fontId="9"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9" fontId="9"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general" vertical="top" textRotation="0" wrapText="true" indent="0" shrinkToFit="false"/>
      <protection locked="true" hidden="false"/>
    </xf>
    <xf numFmtId="170" fontId="6" fillId="5" borderId="1"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200"/>
      <rgbColor rgb="FFFF00FF"/>
      <rgbColor rgb="FF00FFFF"/>
      <rgbColor rgb="FF800000"/>
      <rgbColor rgb="FF008000"/>
      <rgbColor rgb="FF000080"/>
      <rgbColor rgb="FF548235"/>
      <rgbColor rgb="FF800080"/>
      <rgbColor rgb="FF008080"/>
      <rgbColor rgb="FFBFBFBF"/>
      <rgbColor rgb="FF808080"/>
      <rgbColor rgb="FF9999FF"/>
      <rgbColor rgb="FF993366"/>
      <rgbColor rgb="FFF2F2F2"/>
      <rgbColor rgb="FFEFE9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5B2A8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A86"/>
    <pageSetUpPr fitToPage="true"/>
  </sheetPr>
  <dimension ref="A1:C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0"/>
    <col collapsed="false" customWidth="true" hidden="false" outlineLevel="0" max="3" min="3" style="0" width="3"/>
  </cols>
  <sheetData>
    <row r="1" customFormat="false" ht="24" hidden="false" customHeight="tru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3" t="s">
        <v>2</v>
      </c>
      <c r="B3" s="3"/>
      <c r="C3" s="3"/>
    </row>
    <row r="5" customFormat="false" ht="30" hidden="false" customHeight="true" outlineLevel="0" collapsed="false">
      <c r="A5" s="4" t="s">
        <v>3</v>
      </c>
      <c r="B5" s="4" t="s">
        <v>4</v>
      </c>
    </row>
    <row r="6" customFormat="false" ht="23.85" hidden="false" customHeight="false" outlineLevel="0" collapsed="false">
      <c r="A6" s="5" t="s">
        <v>5</v>
      </c>
      <c r="B6" s="5" t="s">
        <v>6</v>
      </c>
    </row>
    <row r="7" customFormat="false" ht="23.85" hidden="false" customHeight="false" outlineLevel="0" collapsed="false">
      <c r="A7" s="6" t="s">
        <v>7</v>
      </c>
      <c r="B7" s="6" t="s">
        <v>8</v>
      </c>
    </row>
    <row r="8" customFormat="false" ht="23.85" hidden="false" customHeight="false" outlineLevel="0" collapsed="false">
      <c r="A8" s="5" t="s">
        <v>9</v>
      </c>
      <c r="B8" s="5" t="s">
        <v>10</v>
      </c>
    </row>
    <row r="9" customFormat="false" ht="23.85" hidden="false" customHeight="false" outlineLevel="0" collapsed="false">
      <c r="A9" s="6" t="s">
        <v>11</v>
      </c>
      <c r="B9" s="6" t="s">
        <v>12</v>
      </c>
    </row>
    <row r="10" customFormat="false" ht="15" hidden="false" customHeight="false" outlineLevel="0" collapsed="false">
      <c r="A10" s="5" t="s">
        <v>13</v>
      </c>
      <c r="B10" s="5" t="s">
        <v>14</v>
      </c>
    </row>
    <row r="11" customFormat="false" ht="23.85" hidden="false" customHeight="false" outlineLevel="0" collapsed="false">
      <c r="A11" s="6" t="s">
        <v>15</v>
      </c>
      <c r="B11" s="6" t="s">
        <v>16</v>
      </c>
    </row>
    <row r="12" customFormat="false" ht="23.85" hidden="false" customHeight="false" outlineLevel="0" collapsed="false">
      <c r="A12" s="5" t="s">
        <v>17</v>
      </c>
      <c r="B12" s="5" t="s">
        <v>18</v>
      </c>
    </row>
    <row r="13" customFormat="false" ht="23.85" hidden="false" customHeight="false" outlineLevel="0" collapsed="false">
      <c r="A13" s="6" t="s">
        <v>19</v>
      </c>
      <c r="B13" s="6" t="s">
        <v>20</v>
      </c>
    </row>
  </sheetData>
  <mergeCells count="3">
    <mergeCell ref="A1:C1"/>
    <mergeCell ref="A2:C2"/>
    <mergeCell ref="A3:C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00"/>
  </cols>
  <sheetData>
    <row r="1" customFormat="false" ht="24" hidden="false" customHeight="true" outlineLevel="0" collapsed="false">
      <c r="A1" s="1" t="s">
        <v>21</v>
      </c>
      <c r="B1" s="1"/>
    </row>
    <row r="2" customFormat="false" ht="15" hidden="false" customHeight="false" outlineLevel="0" collapsed="false">
      <c r="A2" s="2" t="s">
        <v>22</v>
      </c>
      <c r="B2" s="2"/>
    </row>
    <row r="3" customFormat="false" ht="15" hidden="false" customHeight="false" outlineLevel="0" collapsed="false">
      <c r="A3" s="3" t="s">
        <v>2</v>
      </c>
      <c r="B3" s="3"/>
    </row>
    <row r="5" customFormat="false" ht="30" hidden="false" customHeight="true" outlineLevel="0" collapsed="false">
      <c r="A5" s="4" t="s">
        <v>23</v>
      </c>
      <c r="B5" s="4" t="s">
        <v>24</v>
      </c>
    </row>
    <row r="6" customFormat="false" ht="15" hidden="false" customHeight="false" outlineLevel="0" collapsed="false">
      <c r="A6" s="5" t="s">
        <v>25</v>
      </c>
      <c r="B6" s="5" t="s">
        <v>26</v>
      </c>
    </row>
    <row r="7" customFormat="false" ht="15" hidden="false" customHeight="false" outlineLevel="0" collapsed="false">
      <c r="A7" s="6" t="s">
        <v>27</v>
      </c>
      <c r="B7" s="6" t="s">
        <v>28</v>
      </c>
    </row>
    <row r="8" customFormat="false" ht="15" hidden="false" customHeight="false" outlineLevel="0" collapsed="false">
      <c r="A8" s="5" t="s">
        <v>29</v>
      </c>
      <c r="B8" s="7" t="s">
        <v>30</v>
      </c>
    </row>
    <row r="9" customFormat="false" ht="23.85" hidden="false" customHeight="false" outlineLevel="0" collapsed="false">
      <c r="A9" s="6" t="s">
        <v>31</v>
      </c>
      <c r="B9" s="6" t="s">
        <v>32</v>
      </c>
    </row>
    <row r="10" customFormat="false" ht="15" hidden="false" customHeight="false" outlineLevel="0" collapsed="false">
      <c r="A10" s="5" t="s">
        <v>33</v>
      </c>
      <c r="B10" s="7" t="s">
        <v>34</v>
      </c>
    </row>
    <row r="11" customFormat="false" ht="15" hidden="false" customHeight="false" outlineLevel="0" collapsed="false">
      <c r="A11" s="6" t="s">
        <v>35</v>
      </c>
      <c r="B11" s="7" t="s">
        <v>36</v>
      </c>
    </row>
    <row r="12" customFormat="false" ht="15" hidden="false" customHeight="false" outlineLevel="0" collapsed="false">
      <c r="A12" s="5" t="s">
        <v>37</v>
      </c>
      <c r="B12" s="7" t="s">
        <v>38</v>
      </c>
    </row>
    <row r="13" customFormat="false" ht="15" hidden="false" customHeight="false" outlineLevel="0" collapsed="false">
      <c r="A13" s="6" t="s">
        <v>39</v>
      </c>
      <c r="B13" s="7" t="s">
        <v>40</v>
      </c>
    </row>
    <row r="14" customFormat="false" ht="15" hidden="false" customHeight="false" outlineLevel="0" collapsed="false">
      <c r="A14" s="5" t="s">
        <v>41</v>
      </c>
      <c r="B14" s="7" t="s">
        <v>42</v>
      </c>
    </row>
    <row r="15" customFormat="false" ht="15" hidden="false" customHeight="false" outlineLevel="0" collapsed="false">
      <c r="A15" s="6" t="s">
        <v>43</v>
      </c>
      <c r="B15" s="7" t="s">
        <v>42</v>
      </c>
    </row>
    <row r="16" customFormat="false" ht="15" hidden="false" customHeight="false" outlineLevel="0" collapsed="false">
      <c r="A16" s="5" t="s">
        <v>44</v>
      </c>
      <c r="B16" s="7" t="s">
        <v>45</v>
      </c>
    </row>
    <row r="17" customFormat="false" ht="23.85" hidden="false" customHeight="false" outlineLevel="0" collapsed="false">
      <c r="A17" s="6" t="s">
        <v>46</v>
      </c>
      <c r="B17" s="7" t="s">
        <v>45</v>
      </c>
    </row>
    <row r="18" customFormat="false" ht="23.85" hidden="false" customHeight="false" outlineLevel="0" collapsed="false">
      <c r="A18" s="5" t="s">
        <v>47</v>
      </c>
      <c r="B18" s="5" t="s">
        <v>48</v>
      </c>
    </row>
    <row r="19" customFormat="false" ht="15" hidden="false" customHeight="false" outlineLevel="0" collapsed="false">
      <c r="A19" s="6" t="s">
        <v>49</v>
      </c>
      <c r="B19" s="7" t="s">
        <v>50</v>
      </c>
    </row>
    <row r="20" customFormat="false" ht="15" hidden="false" customHeight="false" outlineLevel="0" collapsed="false">
      <c r="A20" s="5" t="s">
        <v>51</v>
      </c>
      <c r="B20" s="5" t="s">
        <v>52</v>
      </c>
    </row>
    <row r="21" customFormat="false" ht="15" hidden="false" customHeight="false" outlineLevel="0" collapsed="false">
      <c r="A21" s="6" t="s">
        <v>53</v>
      </c>
      <c r="B21" s="7" t="s">
        <v>54</v>
      </c>
    </row>
    <row r="22" customFormat="false" ht="15" hidden="false" customHeight="false" outlineLevel="0" collapsed="false">
      <c r="A22" s="5" t="s">
        <v>55</v>
      </c>
      <c r="B22" s="7" t="s">
        <v>56</v>
      </c>
    </row>
    <row r="23" customFormat="false" ht="15" hidden="false" customHeight="false" outlineLevel="0" collapsed="false">
      <c r="A23" s="6" t="s">
        <v>57</v>
      </c>
      <c r="B23" s="6" t="s">
        <v>58</v>
      </c>
    </row>
    <row r="24" customFormat="false" ht="15" hidden="false" customHeight="false" outlineLevel="0" collapsed="false">
      <c r="A24" s="5" t="s">
        <v>59</v>
      </c>
      <c r="B24" s="7" t="s">
        <v>60</v>
      </c>
    </row>
    <row r="25" customFormat="false" ht="15" hidden="false" customHeight="false" outlineLevel="0" collapsed="false">
      <c r="A25" s="6" t="s">
        <v>61</v>
      </c>
      <c r="B25" s="7" t="s">
        <v>62</v>
      </c>
    </row>
    <row r="26" customFormat="false" ht="15" hidden="false" customHeight="false" outlineLevel="0" collapsed="false">
      <c r="A26" s="5" t="s">
        <v>63</v>
      </c>
      <c r="B26" s="7" t="s">
        <v>64</v>
      </c>
    </row>
  </sheetData>
  <mergeCells count="3">
    <mergeCell ref="A1:B1"/>
    <mergeCell ref="A2:B2"/>
    <mergeCell ref="A3:B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A86"/>
    <pageSetUpPr fitToPage="true"/>
  </sheetPr>
  <dimension ref="A1:F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42"/>
    <col collapsed="false" customWidth="true" hidden="false" outlineLevel="0" max="4" min="4" style="0" width="95"/>
    <col collapsed="false" customWidth="true" hidden="false" outlineLevel="0" max="5" min="5" style="0" width="28"/>
    <col collapsed="false" customWidth="true" hidden="false" outlineLevel="0" max="6" min="6" style="0" width="10"/>
  </cols>
  <sheetData>
    <row r="1" customFormat="false" ht="24" hidden="false" customHeight="true" outlineLevel="0" collapsed="false">
      <c r="A1" s="1" t="s">
        <v>65</v>
      </c>
      <c r="B1" s="1"/>
      <c r="C1" s="1"/>
      <c r="D1" s="1"/>
      <c r="E1" s="1"/>
      <c r="F1" s="1"/>
    </row>
    <row r="2" customFormat="false" ht="15" hidden="false" customHeight="false" outlineLevel="0" collapsed="false">
      <c r="A2" s="2" t="s">
        <v>66</v>
      </c>
      <c r="B2" s="2"/>
      <c r="C2" s="2"/>
      <c r="D2" s="2"/>
      <c r="E2" s="2"/>
      <c r="F2" s="2"/>
    </row>
    <row r="3" customFormat="false" ht="15" hidden="false" customHeight="false" outlineLevel="0" collapsed="false">
      <c r="A3" s="3" t="s">
        <v>2</v>
      </c>
      <c r="B3" s="3"/>
      <c r="C3" s="3"/>
      <c r="D3" s="3"/>
      <c r="E3" s="3"/>
      <c r="F3" s="3"/>
    </row>
    <row r="5" customFormat="false" ht="30" hidden="false" customHeight="true" outlineLevel="0" collapsed="false">
      <c r="A5" s="4" t="s">
        <v>67</v>
      </c>
      <c r="B5" s="4" t="s">
        <v>68</v>
      </c>
      <c r="C5" s="4" t="s">
        <v>69</v>
      </c>
      <c r="D5" s="4" t="s">
        <v>70</v>
      </c>
      <c r="E5" s="4" t="s">
        <v>71</v>
      </c>
      <c r="F5" s="4" t="s">
        <v>72</v>
      </c>
    </row>
    <row r="6" customFormat="false" ht="15" hidden="false" customHeight="true" outlineLevel="0" collapsed="false">
      <c r="A6" s="8" t="s">
        <v>73</v>
      </c>
      <c r="B6" s="8"/>
      <c r="C6" s="8"/>
      <c r="D6" s="8"/>
      <c r="E6" s="8"/>
      <c r="F6" s="8"/>
    </row>
    <row r="7" customFormat="false" ht="35.05" hidden="false" customHeight="false" outlineLevel="0" collapsed="false">
      <c r="A7" s="9" t="s">
        <v>74</v>
      </c>
      <c r="B7" s="5" t="s">
        <v>75</v>
      </c>
      <c r="C7" s="5" t="s">
        <v>76</v>
      </c>
      <c r="D7" s="5" t="s">
        <v>77</v>
      </c>
      <c r="E7" s="5" t="s">
        <v>78</v>
      </c>
      <c r="F7" s="9" t="s">
        <v>79</v>
      </c>
    </row>
    <row r="8" customFormat="false" ht="46.25" hidden="false" customHeight="false" outlineLevel="0" collapsed="false">
      <c r="A8" s="9" t="s">
        <v>80</v>
      </c>
      <c r="B8" s="5" t="s">
        <v>75</v>
      </c>
      <c r="C8" s="5" t="s">
        <v>81</v>
      </c>
      <c r="D8" s="5" t="s">
        <v>82</v>
      </c>
      <c r="E8" s="5" t="s">
        <v>83</v>
      </c>
      <c r="F8" s="9" t="s">
        <v>79</v>
      </c>
    </row>
    <row r="9" customFormat="false" ht="35.05" hidden="false" customHeight="false" outlineLevel="0" collapsed="false">
      <c r="A9" s="9" t="s">
        <v>84</v>
      </c>
      <c r="B9" s="5" t="s">
        <v>75</v>
      </c>
      <c r="C9" s="5" t="s">
        <v>85</v>
      </c>
      <c r="D9" s="5" t="s">
        <v>86</v>
      </c>
      <c r="E9" s="5" t="s">
        <v>87</v>
      </c>
      <c r="F9" s="9" t="s">
        <v>79</v>
      </c>
    </row>
    <row r="10" customFormat="false" ht="35.05" hidden="false" customHeight="false" outlineLevel="0" collapsed="false">
      <c r="A10" s="9" t="s">
        <v>88</v>
      </c>
      <c r="B10" s="5" t="s">
        <v>75</v>
      </c>
      <c r="C10" s="5" t="s">
        <v>89</v>
      </c>
      <c r="D10" s="5" t="s">
        <v>90</v>
      </c>
      <c r="E10" s="5" t="s">
        <v>91</v>
      </c>
      <c r="F10" s="9" t="s">
        <v>79</v>
      </c>
    </row>
    <row r="11" customFormat="false" ht="35.05" hidden="false" customHeight="false" outlineLevel="0" collapsed="false">
      <c r="A11" s="9" t="s">
        <v>92</v>
      </c>
      <c r="B11" s="5" t="s">
        <v>93</v>
      </c>
      <c r="C11" s="5" t="s">
        <v>94</v>
      </c>
      <c r="D11" s="5" t="s">
        <v>95</v>
      </c>
      <c r="E11" s="5" t="s">
        <v>96</v>
      </c>
      <c r="F11" s="9" t="s">
        <v>79</v>
      </c>
    </row>
    <row r="12" customFormat="false" ht="23.85" hidden="false" customHeight="false" outlineLevel="0" collapsed="false">
      <c r="A12" s="9" t="s">
        <v>97</v>
      </c>
      <c r="B12" s="5" t="s">
        <v>93</v>
      </c>
      <c r="C12" s="5" t="s">
        <v>98</v>
      </c>
      <c r="D12" s="5" t="s">
        <v>99</v>
      </c>
      <c r="E12" s="5" t="s">
        <v>100</v>
      </c>
      <c r="F12" s="9" t="s">
        <v>79</v>
      </c>
    </row>
    <row r="13" customFormat="false" ht="35.05" hidden="false" customHeight="false" outlineLevel="0" collapsed="false">
      <c r="A13" s="9" t="s">
        <v>101</v>
      </c>
      <c r="B13" s="5" t="s">
        <v>93</v>
      </c>
      <c r="C13" s="5" t="s">
        <v>102</v>
      </c>
      <c r="D13" s="5" t="s">
        <v>103</v>
      </c>
      <c r="E13" s="5" t="s">
        <v>100</v>
      </c>
      <c r="F13" s="9" t="s">
        <v>79</v>
      </c>
    </row>
    <row r="14" customFormat="false" ht="23.85" hidden="false" customHeight="false" outlineLevel="0" collapsed="false">
      <c r="A14" s="9" t="s">
        <v>104</v>
      </c>
      <c r="B14" s="5" t="s">
        <v>93</v>
      </c>
      <c r="C14" s="5" t="s">
        <v>105</v>
      </c>
      <c r="D14" s="5" t="s">
        <v>106</v>
      </c>
      <c r="E14" s="5" t="s">
        <v>100</v>
      </c>
      <c r="F14" s="9" t="s">
        <v>79</v>
      </c>
    </row>
    <row r="15" customFormat="false" ht="23.85" hidden="false" customHeight="false" outlineLevel="0" collapsed="false">
      <c r="A15" s="9" t="s">
        <v>107</v>
      </c>
      <c r="B15" s="5" t="s">
        <v>108</v>
      </c>
      <c r="C15" s="5" t="s">
        <v>109</v>
      </c>
      <c r="D15" s="5" t="s">
        <v>110</v>
      </c>
      <c r="E15" s="5" t="s">
        <v>111</v>
      </c>
      <c r="F15" s="9" t="s">
        <v>79</v>
      </c>
    </row>
    <row r="16" customFormat="false" ht="35.05" hidden="false" customHeight="false" outlineLevel="0" collapsed="false">
      <c r="A16" s="9" t="s">
        <v>112</v>
      </c>
      <c r="B16" s="5" t="s">
        <v>108</v>
      </c>
      <c r="C16" s="5" t="s">
        <v>113</v>
      </c>
      <c r="D16" s="5" t="s">
        <v>114</v>
      </c>
      <c r="E16" s="5" t="s">
        <v>115</v>
      </c>
      <c r="F16" s="9" t="s">
        <v>79</v>
      </c>
    </row>
    <row r="17" customFormat="false" ht="23.85" hidden="false" customHeight="false" outlineLevel="0" collapsed="false">
      <c r="A17" s="9" t="s">
        <v>116</v>
      </c>
      <c r="B17" s="5" t="s">
        <v>108</v>
      </c>
      <c r="C17" s="5" t="s">
        <v>117</v>
      </c>
      <c r="D17" s="5" t="s">
        <v>118</v>
      </c>
      <c r="E17" s="5" t="s">
        <v>119</v>
      </c>
      <c r="F17" s="9" t="s">
        <v>79</v>
      </c>
    </row>
    <row r="18" customFormat="false" ht="35.05" hidden="false" customHeight="false" outlineLevel="0" collapsed="false">
      <c r="A18" s="9" t="s">
        <v>120</v>
      </c>
      <c r="B18" s="5" t="s">
        <v>121</v>
      </c>
      <c r="C18" s="5" t="s">
        <v>122</v>
      </c>
      <c r="D18" s="5" t="s">
        <v>123</v>
      </c>
      <c r="E18" s="5" t="s">
        <v>124</v>
      </c>
      <c r="F18" s="9" t="s">
        <v>79</v>
      </c>
    </row>
    <row r="19" customFormat="false" ht="15" hidden="false" customHeight="true" outlineLevel="0" collapsed="false">
      <c r="A19" s="8" t="s">
        <v>125</v>
      </c>
      <c r="B19" s="8"/>
      <c r="C19" s="8"/>
      <c r="D19" s="8"/>
      <c r="E19" s="8"/>
      <c r="F19" s="8"/>
    </row>
    <row r="20" customFormat="false" ht="23.85" hidden="false" customHeight="false" outlineLevel="0" collapsed="false">
      <c r="A20" s="9" t="s">
        <v>126</v>
      </c>
      <c r="B20" s="5" t="s">
        <v>17</v>
      </c>
      <c r="C20" s="5" t="s">
        <v>127</v>
      </c>
      <c r="D20" s="5" t="s">
        <v>128</v>
      </c>
      <c r="E20" s="5" t="s">
        <v>129</v>
      </c>
      <c r="F20" s="9" t="s">
        <v>79</v>
      </c>
    </row>
    <row r="21" customFormat="false" ht="35.05" hidden="false" customHeight="false" outlineLevel="0" collapsed="false">
      <c r="A21" s="9" t="s">
        <v>130</v>
      </c>
      <c r="B21" s="5" t="s">
        <v>17</v>
      </c>
      <c r="C21" s="5" t="s">
        <v>131</v>
      </c>
      <c r="D21" s="5" t="s">
        <v>132</v>
      </c>
      <c r="E21" s="5" t="s">
        <v>133</v>
      </c>
      <c r="F21" s="9" t="s">
        <v>79</v>
      </c>
    </row>
    <row r="22" customFormat="false" ht="35.05" hidden="false" customHeight="false" outlineLevel="0" collapsed="false">
      <c r="A22" s="9" t="s">
        <v>134</v>
      </c>
      <c r="B22" s="5" t="s">
        <v>17</v>
      </c>
      <c r="C22" s="5" t="s">
        <v>135</v>
      </c>
      <c r="D22" s="5" t="s">
        <v>136</v>
      </c>
      <c r="E22" s="5" t="s">
        <v>137</v>
      </c>
      <c r="F22" s="9" t="s">
        <v>79</v>
      </c>
    </row>
    <row r="23" customFormat="false" ht="23.85" hidden="false" customHeight="false" outlineLevel="0" collapsed="false">
      <c r="A23" s="9" t="s">
        <v>138</v>
      </c>
      <c r="B23" s="5" t="s">
        <v>17</v>
      </c>
      <c r="C23" s="5" t="s">
        <v>139</v>
      </c>
      <c r="D23" s="5" t="s">
        <v>140</v>
      </c>
      <c r="E23" s="5" t="s">
        <v>141</v>
      </c>
      <c r="F23" s="9" t="s">
        <v>79</v>
      </c>
    </row>
    <row r="24" customFormat="false" ht="23.85" hidden="false" customHeight="false" outlineLevel="0" collapsed="false">
      <c r="A24" s="9" t="s">
        <v>142</v>
      </c>
      <c r="B24" s="5" t="s">
        <v>17</v>
      </c>
      <c r="C24" s="5" t="s">
        <v>143</v>
      </c>
      <c r="D24" s="5" t="s">
        <v>144</v>
      </c>
      <c r="E24" s="5" t="s">
        <v>137</v>
      </c>
      <c r="F24" s="9" t="s">
        <v>79</v>
      </c>
    </row>
    <row r="25" customFormat="false" ht="23.85" hidden="false" customHeight="false" outlineLevel="0" collapsed="false">
      <c r="A25" s="9" t="s">
        <v>145</v>
      </c>
      <c r="B25" s="5" t="s">
        <v>17</v>
      </c>
      <c r="C25" s="5" t="s">
        <v>146</v>
      </c>
      <c r="D25" s="5" t="s">
        <v>147</v>
      </c>
      <c r="E25" s="5" t="s">
        <v>148</v>
      </c>
      <c r="F25" s="9" t="s">
        <v>79</v>
      </c>
    </row>
    <row r="26" customFormat="false" ht="15" hidden="false" customHeight="true" outlineLevel="0" collapsed="false">
      <c r="A26" s="8" t="s">
        <v>149</v>
      </c>
      <c r="B26" s="8"/>
      <c r="C26" s="8"/>
      <c r="D26" s="8"/>
      <c r="E26" s="8"/>
      <c r="F26" s="8"/>
    </row>
    <row r="27" customFormat="false" ht="23.85" hidden="false" customHeight="false" outlineLevel="0" collapsed="false">
      <c r="A27" s="9" t="s">
        <v>150</v>
      </c>
      <c r="B27" s="5" t="s">
        <v>151</v>
      </c>
      <c r="C27" s="5" t="s">
        <v>152</v>
      </c>
      <c r="D27" s="5" t="s">
        <v>153</v>
      </c>
      <c r="E27" s="5" t="s">
        <v>154</v>
      </c>
      <c r="F27" s="9" t="s">
        <v>79</v>
      </c>
    </row>
    <row r="28" customFormat="false" ht="23.85" hidden="false" customHeight="false" outlineLevel="0" collapsed="false">
      <c r="A28" s="9" t="s">
        <v>155</v>
      </c>
      <c r="B28" s="5" t="s">
        <v>151</v>
      </c>
      <c r="C28" s="5" t="s">
        <v>156</v>
      </c>
      <c r="D28" s="5" t="s">
        <v>157</v>
      </c>
      <c r="E28" s="5" t="s">
        <v>158</v>
      </c>
      <c r="F28" s="9" t="s">
        <v>79</v>
      </c>
    </row>
    <row r="29" customFormat="false" ht="23.85" hidden="false" customHeight="false" outlineLevel="0" collapsed="false">
      <c r="A29" s="9" t="s">
        <v>159</v>
      </c>
      <c r="B29" s="5" t="s">
        <v>151</v>
      </c>
      <c r="C29" s="5" t="s">
        <v>160</v>
      </c>
      <c r="D29" s="5" t="s">
        <v>161</v>
      </c>
      <c r="E29" s="5" t="s">
        <v>154</v>
      </c>
      <c r="F29" s="9" t="s">
        <v>79</v>
      </c>
    </row>
    <row r="30" customFormat="false" ht="23.85" hidden="false" customHeight="false" outlineLevel="0" collapsed="false">
      <c r="A30" s="9" t="s">
        <v>162</v>
      </c>
      <c r="B30" s="5" t="s">
        <v>151</v>
      </c>
      <c r="C30" s="5" t="s">
        <v>163</v>
      </c>
      <c r="D30" s="5" t="s">
        <v>164</v>
      </c>
      <c r="E30" s="5" t="s">
        <v>165</v>
      </c>
      <c r="F30" s="9" t="s">
        <v>79</v>
      </c>
    </row>
    <row r="31" customFormat="false" ht="15" hidden="false" customHeight="true" outlineLevel="0" collapsed="false">
      <c r="A31" s="8" t="s">
        <v>166</v>
      </c>
      <c r="B31" s="8"/>
      <c r="C31" s="8"/>
      <c r="D31" s="8"/>
      <c r="E31" s="8"/>
      <c r="F31" s="8"/>
    </row>
    <row r="32" customFormat="false" ht="35.05" hidden="false" customHeight="false" outlineLevel="0" collapsed="false">
      <c r="A32" s="9" t="s">
        <v>167</v>
      </c>
      <c r="B32" s="5" t="s">
        <v>168</v>
      </c>
      <c r="C32" s="5" t="s">
        <v>169</v>
      </c>
      <c r="D32" s="5" t="s">
        <v>170</v>
      </c>
      <c r="E32" s="5" t="s">
        <v>171</v>
      </c>
      <c r="F32" s="9" t="s">
        <v>79</v>
      </c>
    </row>
    <row r="33" customFormat="false" ht="23.85" hidden="false" customHeight="false" outlineLevel="0" collapsed="false">
      <c r="A33" s="9" t="s">
        <v>172</v>
      </c>
      <c r="B33" s="5" t="s">
        <v>168</v>
      </c>
      <c r="C33" s="5" t="s">
        <v>173</v>
      </c>
      <c r="D33" s="5" t="s">
        <v>174</v>
      </c>
      <c r="E33" s="5" t="s">
        <v>175</v>
      </c>
      <c r="F33" s="9" t="s">
        <v>79</v>
      </c>
    </row>
    <row r="34" customFormat="false" ht="35.05" hidden="false" customHeight="false" outlineLevel="0" collapsed="false">
      <c r="A34" s="9" t="s">
        <v>176</v>
      </c>
      <c r="B34" s="5" t="s">
        <v>168</v>
      </c>
      <c r="C34" s="5" t="s">
        <v>177</v>
      </c>
      <c r="D34" s="5" t="s">
        <v>178</v>
      </c>
      <c r="E34" s="5" t="s">
        <v>179</v>
      </c>
      <c r="F34" s="9" t="s">
        <v>79</v>
      </c>
    </row>
    <row r="35" customFormat="false" ht="23.85" hidden="false" customHeight="false" outlineLevel="0" collapsed="false">
      <c r="A35" s="9" t="s">
        <v>180</v>
      </c>
      <c r="B35" s="5" t="s">
        <v>168</v>
      </c>
      <c r="C35" s="5" t="s">
        <v>181</v>
      </c>
      <c r="D35" s="5" t="s">
        <v>182</v>
      </c>
      <c r="E35" s="5" t="s">
        <v>183</v>
      </c>
      <c r="F35" s="9" t="s">
        <v>79</v>
      </c>
    </row>
    <row r="36" customFormat="false" ht="35.05" hidden="false" customHeight="false" outlineLevel="0" collapsed="false">
      <c r="A36" s="9" t="s">
        <v>184</v>
      </c>
      <c r="B36" s="5" t="s">
        <v>168</v>
      </c>
      <c r="C36" s="5" t="s">
        <v>185</v>
      </c>
      <c r="D36" s="5" t="s">
        <v>186</v>
      </c>
      <c r="E36" s="5" t="s">
        <v>187</v>
      </c>
      <c r="F36" s="9" t="s">
        <v>79</v>
      </c>
    </row>
    <row r="37" customFormat="false" ht="35.05" hidden="false" customHeight="false" outlineLevel="0" collapsed="false">
      <c r="A37" s="9" t="s">
        <v>188</v>
      </c>
      <c r="B37" s="5" t="s">
        <v>168</v>
      </c>
      <c r="C37" s="5" t="s">
        <v>189</v>
      </c>
      <c r="D37" s="5" t="s">
        <v>190</v>
      </c>
      <c r="E37" s="5" t="s">
        <v>191</v>
      </c>
      <c r="F37" s="9" t="s">
        <v>79</v>
      </c>
    </row>
    <row r="38" customFormat="false" ht="35.05" hidden="false" customHeight="false" outlineLevel="0" collapsed="false">
      <c r="A38" s="9" t="s">
        <v>192</v>
      </c>
      <c r="B38" s="5" t="s">
        <v>168</v>
      </c>
      <c r="C38" s="5" t="s">
        <v>193</v>
      </c>
      <c r="D38" s="5" t="s">
        <v>194</v>
      </c>
      <c r="E38" s="5" t="s">
        <v>195</v>
      </c>
      <c r="F38" s="9" t="s">
        <v>79</v>
      </c>
    </row>
    <row r="39" customFormat="false" ht="23.85" hidden="false" customHeight="false" outlineLevel="0" collapsed="false">
      <c r="A39" s="9" t="s">
        <v>196</v>
      </c>
      <c r="B39" s="5" t="s">
        <v>168</v>
      </c>
      <c r="C39" s="5" t="s">
        <v>197</v>
      </c>
      <c r="D39" s="5" t="s">
        <v>198</v>
      </c>
      <c r="E39" s="5" t="s">
        <v>199</v>
      </c>
      <c r="F39" s="9" t="s">
        <v>79</v>
      </c>
    </row>
    <row r="40" customFormat="false" ht="23.85" hidden="false" customHeight="false" outlineLevel="0" collapsed="false">
      <c r="A40" s="9" t="s">
        <v>200</v>
      </c>
      <c r="B40" s="5" t="s">
        <v>168</v>
      </c>
      <c r="C40" s="5" t="s">
        <v>201</v>
      </c>
      <c r="D40" s="5" t="s">
        <v>202</v>
      </c>
      <c r="E40" s="5" t="s">
        <v>203</v>
      </c>
      <c r="F40" s="9" t="s">
        <v>79</v>
      </c>
    </row>
    <row r="41" customFormat="false" ht="15" hidden="false" customHeight="true" outlineLevel="0" collapsed="false">
      <c r="A41" s="8" t="s">
        <v>204</v>
      </c>
      <c r="B41" s="8"/>
      <c r="C41" s="8"/>
      <c r="D41" s="8"/>
      <c r="E41" s="8"/>
      <c r="F41" s="8"/>
    </row>
    <row r="42" customFormat="false" ht="23.85" hidden="false" customHeight="false" outlineLevel="0" collapsed="false">
      <c r="A42" s="9" t="s">
        <v>205</v>
      </c>
      <c r="B42" s="5" t="s">
        <v>206</v>
      </c>
      <c r="C42" s="5" t="s">
        <v>207</v>
      </c>
      <c r="D42" s="5" t="s">
        <v>208</v>
      </c>
      <c r="E42" s="5" t="s">
        <v>209</v>
      </c>
      <c r="F42" s="9" t="s">
        <v>79</v>
      </c>
    </row>
    <row r="43" customFormat="false" ht="23.85" hidden="false" customHeight="false" outlineLevel="0" collapsed="false">
      <c r="A43" s="9" t="s">
        <v>210</v>
      </c>
      <c r="B43" s="5" t="s">
        <v>206</v>
      </c>
      <c r="C43" s="5" t="s">
        <v>211</v>
      </c>
      <c r="D43" s="5" t="s">
        <v>212</v>
      </c>
      <c r="E43" s="5" t="s">
        <v>213</v>
      </c>
      <c r="F43" s="9" t="s">
        <v>79</v>
      </c>
    </row>
    <row r="44" customFormat="false" ht="35.05" hidden="false" customHeight="false" outlineLevel="0" collapsed="false">
      <c r="A44" s="9" t="s">
        <v>214</v>
      </c>
      <c r="B44" s="5" t="s">
        <v>206</v>
      </c>
      <c r="C44" s="5" t="s">
        <v>215</v>
      </c>
      <c r="D44" s="5" t="s">
        <v>216</v>
      </c>
      <c r="E44" s="5" t="s">
        <v>209</v>
      </c>
      <c r="F44" s="9" t="s">
        <v>79</v>
      </c>
    </row>
    <row r="45" customFormat="false" ht="35.05" hidden="false" customHeight="false" outlineLevel="0" collapsed="false">
      <c r="A45" s="9" t="s">
        <v>217</v>
      </c>
      <c r="B45" s="5" t="s">
        <v>206</v>
      </c>
      <c r="C45" s="5" t="s">
        <v>218</v>
      </c>
      <c r="D45" s="5" t="s">
        <v>219</v>
      </c>
      <c r="E45" s="5" t="s">
        <v>220</v>
      </c>
      <c r="F45" s="9" t="s">
        <v>79</v>
      </c>
    </row>
    <row r="46" customFormat="false" ht="46.25" hidden="false" customHeight="false" outlineLevel="0" collapsed="false">
      <c r="A46" s="9" t="s">
        <v>221</v>
      </c>
      <c r="B46" s="5" t="s">
        <v>206</v>
      </c>
      <c r="C46" s="5" t="s">
        <v>222</v>
      </c>
      <c r="D46" s="5" t="s">
        <v>223</v>
      </c>
      <c r="E46" s="5" t="s">
        <v>224</v>
      </c>
      <c r="F46" s="9" t="s">
        <v>79</v>
      </c>
    </row>
    <row r="47" customFormat="false" ht="23.85" hidden="false" customHeight="false" outlineLevel="0" collapsed="false">
      <c r="A47" s="9" t="s">
        <v>225</v>
      </c>
      <c r="B47" s="5" t="s">
        <v>206</v>
      </c>
      <c r="C47" s="5" t="s">
        <v>226</v>
      </c>
      <c r="D47" s="5" t="s">
        <v>227</v>
      </c>
      <c r="E47" s="5" t="s">
        <v>228</v>
      </c>
      <c r="F47" s="9" t="s">
        <v>79</v>
      </c>
    </row>
    <row r="48" customFormat="false" ht="35.05" hidden="false" customHeight="false" outlineLevel="0" collapsed="false">
      <c r="A48" s="9" t="s">
        <v>229</v>
      </c>
      <c r="B48" s="5" t="s">
        <v>206</v>
      </c>
      <c r="C48" s="5" t="s">
        <v>230</v>
      </c>
      <c r="D48" s="5" t="s">
        <v>231</v>
      </c>
      <c r="E48" s="5" t="s">
        <v>228</v>
      </c>
      <c r="F48" s="9" t="s">
        <v>79</v>
      </c>
    </row>
    <row r="49" customFormat="false" ht="23.85" hidden="false" customHeight="false" outlineLevel="0" collapsed="false">
      <c r="A49" s="9" t="s">
        <v>232</v>
      </c>
      <c r="B49" s="5" t="s">
        <v>206</v>
      </c>
      <c r="C49" s="5" t="s">
        <v>233</v>
      </c>
      <c r="D49" s="5" t="s">
        <v>234</v>
      </c>
      <c r="E49" s="5" t="s">
        <v>224</v>
      </c>
      <c r="F49" s="9" t="s">
        <v>79</v>
      </c>
    </row>
    <row r="50" customFormat="false" ht="15" hidden="false" customHeight="true" outlineLevel="0" collapsed="false">
      <c r="A50" s="8" t="s">
        <v>235</v>
      </c>
      <c r="B50" s="8"/>
      <c r="C50" s="8"/>
      <c r="D50" s="8"/>
      <c r="E50" s="8"/>
      <c r="F50" s="8"/>
    </row>
    <row r="51" customFormat="false" ht="35.05" hidden="false" customHeight="false" outlineLevel="0" collapsed="false">
      <c r="A51" s="9" t="s">
        <v>236</v>
      </c>
      <c r="B51" s="5" t="s">
        <v>237</v>
      </c>
      <c r="C51" s="5" t="s">
        <v>238</v>
      </c>
      <c r="D51" s="5" t="s">
        <v>239</v>
      </c>
      <c r="E51" s="5" t="s">
        <v>240</v>
      </c>
      <c r="F51" s="9" t="s">
        <v>79</v>
      </c>
    </row>
    <row r="52" customFormat="false" ht="23.85" hidden="false" customHeight="false" outlineLevel="0" collapsed="false">
      <c r="A52" s="9" t="s">
        <v>241</v>
      </c>
      <c r="B52" s="5" t="s">
        <v>237</v>
      </c>
      <c r="C52" s="5" t="s">
        <v>242</v>
      </c>
      <c r="D52" s="5" t="s">
        <v>243</v>
      </c>
      <c r="E52" s="5" t="s">
        <v>244</v>
      </c>
      <c r="F52" s="9" t="s">
        <v>79</v>
      </c>
    </row>
    <row r="53" customFormat="false" ht="23.85" hidden="false" customHeight="false" outlineLevel="0" collapsed="false">
      <c r="A53" s="9" t="s">
        <v>245</v>
      </c>
      <c r="B53" s="5" t="s">
        <v>237</v>
      </c>
      <c r="C53" s="5" t="s">
        <v>246</v>
      </c>
      <c r="D53" s="5" t="s">
        <v>247</v>
      </c>
      <c r="E53" s="5" t="s">
        <v>228</v>
      </c>
      <c r="F53" s="9" t="s">
        <v>79</v>
      </c>
    </row>
    <row r="54" customFormat="false" ht="23.85" hidden="false" customHeight="false" outlineLevel="0" collapsed="false">
      <c r="A54" s="9" t="s">
        <v>248</v>
      </c>
      <c r="B54" s="5" t="s">
        <v>237</v>
      </c>
      <c r="C54" s="5" t="s">
        <v>249</v>
      </c>
      <c r="D54" s="5" t="s">
        <v>250</v>
      </c>
      <c r="E54" s="5" t="s">
        <v>244</v>
      </c>
      <c r="F54" s="9" t="s">
        <v>79</v>
      </c>
    </row>
    <row r="55" customFormat="false" ht="35.05" hidden="false" customHeight="false" outlineLevel="0" collapsed="false">
      <c r="A55" s="9" t="s">
        <v>251</v>
      </c>
      <c r="B55" s="5" t="s">
        <v>237</v>
      </c>
      <c r="C55" s="5" t="s">
        <v>252</v>
      </c>
      <c r="D55" s="5" t="s">
        <v>253</v>
      </c>
      <c r="E55" s="5" t="s">
        <v>87</v>
      </c>
      <c r="F55" s="9" t="s">
        <v>79</v>
      </c>
    </row>
    <row r="56" customFormat="false" ht="23.85" hidden="false" customHeight="false" outlineLevel="0" collapsed="false">
      <c r="A56" s="9" t="s">
        <v>254</v>
      </c>
      <c r="B56" s="5" t="s">
        <v>237</v>
      </c>
      <c r="C56" s="5" t="s">
        <v>255</v>
      </c>
      <c r="D56" s="5" t="s">
        <v>256</v>
      </c>
      <c r="E56" s="5" t="s">
        <v>257</v>
      </c>
      <c r="F56" s="9" t="s">
        <v>79</v>
      </c>
    </row>
    <row r="57" customFormat="false" ht="15" hidden="false" customHeight="true" outlineLevel="0" collapsed="false">
      <c r="A57" s="8" t="s">
        <v>258</v>
      </c>
      <c r="B57" s="8"/>
      <c r="C57" s="8"/>
      <c r="D57" s="8"/>
      <c r="E57" s="8"/>
      <c r="F57" s="8"/>
    </row>
    <row r="58" customFormat="false" ht="23.85" hidden="false" customHeight="false" outlineLevel="0" collapsed="false">
      <c r="A58" s="9" t="s">
        <v>259</v>
      </c>
      <c r="B58" s="5" t="s">
        <v>260</v>
      </c>
      <c r="C58" s="5" t="s">
        <v>261</v>
      </c>
      <c r="D58" s="5" t="s">
        <v>262</v>
      </c>
      <c r="E58" s="5" t="s">
        <v>263</v>
      </c>
      <c r="F58" s="9" t="s">
        <v>79</v>
      </c>
    </row>
    <row r="59" customFormat="false" ht="35.05" hidden="false" customHeight="false" outlineLevel="0" collapsed="false">
      <c r="A59" s="9" t="s">
        <v>264</v>
      </c>
      <c r="B59" s="5" t="s">
        <v>260</v>
      </c>
      <c r="C59" s="5" t="s">
        <v>265</v>
      </c>
      <c r="D59" s="5" t="s">
        <v>266</v>
      </c>
      <c r="E59" s="5" t="s">
        <v>267</v>
      </c>
      <c r="F59" s="9" t="s">
        <v>79</v>
      </c>
    </row>
    <row r="60" customFormat="false" ht="23.85" hidden="false" customHeight="false" outlineLevel="0" collapsed="false">
      <c r="A60" s="9" t="s">
        <v>268</v>
      </c>
      <c r="B60" s="5" t="s">
        <v>260</v>
      </c>
      <c r="C60" s="5" t="s">
        <v>269</v>
      </c>
      <c r="D60" s="5" t="s">
        <v>270</v>
      </c>
      <c r="E60" s="5" t="s">
        <v>271</v>
      </c>
      <c r="F60" s="9" t="s">
        <v>79</v>
      </c>
    </row>
    <row r="61" customFormat="false" ht="23.85" hidden="false" customHeight="false" outlineLevel="0" collapsed="false">
      <c r="A61" s="9" t="s">
        <v>272</v>
      </c>
      <c r="B61" s="5" t="s">
        <v>260</v>
      </c>
      <c r="C61" s="5" t="s">
        <v>273</v>
      </c>
      <c r="D61" s="5" t="s">
        <v>274</v>
      </c>
      <c r="E61" s="5" t="s">
        <v>275</v>
      </c>
      <c r="F61" s="9" t="s">
        <v>79</v>
      </c>
    </row>
    <row r="62" customFormat="false" ht="23.85" hidden="false" customHeight="false" outlineLevel="0" collapsed="false">
      <c r="A62" s="9" t="s">
        <v>276</v>
      </c>
      <c r="B62" s="5" t="s">
        <v>260</v>
      </c>
      <c r="C62" s="5" t="s">
        <v>277</v>
      </c>
      <c r="D62" s="5" t="s">
        <v>278</v>
      </c>
      <c r="E62" s="5" t="s">
        <v>228</v>
      </c>
      <c r="F62" s="9" t="s">
        <v>79</v>
      </c>
    </row>
    <row r="63" customFormat="false" ht="23.85" hidden="false" customHeight="false" outlineLevel="0" collapsed="false">
      <c r="A63" s="9" t="s">
        <v>279</v>
      </c>
      <c r="B63" s="5" t="s">
        <v>260</v>
      </c>
      <c r="C63" s="5" t="s">
        <v>280</v>
      </c>
      <c r="D63" s="5" t="s">
        <v>281</v>
      </c>
      <c r="E63" s="5" t="s">
        <v>228</v>
      </c>
      <c r="F63" s="9" t="s">
        <v>79</v>
      </c>
    </row>
    <row r="64" customFormat="false" ht="23.85" hidden="false" customHeight="false" outlineLevel="0" collapsed="false">
      <c r="A64" s="9" t="s">
        <v>282</v>
      </c>
      <c r="B64" s="5" t="s">
        <v>260</v>
      </c>
      <c r="C64" s="5" t="s">
        <v>283</v>
      </c>
      <c r="D64" s="5" t="s">
        <v>284</v>
      </c>
      <c r="E64" s="5" t="s">
        <v>285</v>
      </c>
      <c r="F64" s="9" t="s">
        <v>79</v>
      </c>
    </row>
    <row r="65" customFormat="false" ht="23.85" hidden="false" customHeight="false" outlineLevel="0" collapsed="false">
      <c r="A65" s="9" t="s">
        <v>286</v>
      </c>
      <c r="B65" s="5" t="s">
        <v>260</v>
      </c>
      <c r="C65" s="5" t="s">
        <v>287</v>
      </c>
      <c r="D65" s="5" t="s">
        <v>288</v>
      </c>
      <c r="E65" s="5" t="s">
        <v>289</v>
      </c>
      <c r="F65" s="9" t="s">
        <v>79</v>
      </c>
    </row>
  </sheetData>
  <mergeCells count="10">
    <mergeCell ref="A1:F1"/>
    <mergeCell ref="A2:F2"/>
    <mergeCell ref="A3:F3"/>
    <mergeCell ref="A6:F6"/>
    <mergeCell ref="A19:F19"/>
    <mergeCell ref="A26:F26"/>
    <mergeCell ref="A31:F31"/>
    <mergeCell ref="A41:F41"/>
    <mergeCell ref="A50:F50"/>
    <mergeCell ref="A57:F57"/>
  </mergeCells>
  <dataValidations count="1">
    <dataValidation allowBlank="true" errorStyle="stop" operator="between" showDropDown="false" showErrorMessage="false" showInputMessage="false" sqref="F6:F66" type="list">
      <formula1>"Yes,Partial,No,N/A"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2"/>
    <col collapsed="false" customWidth="true" hidden="false" outlineLevel="0" max="4" min="4" style="0" width="18"/>
    <col collapsed="false" customWidth="true" hidden="false" outlineLevel="0" max="5" min="5" style="0" width="16"/>
    <col collapsed="false" customWidth="true" hidden="false" outlineLevel="0" max="6" min="6" style="0" width="20"/>
    <col collapsed="false" customWidth="true" hidden="false" outlineLevel="0" max="7" min="7" style="0" width="12"/>
    <col collapsed="false" customWidth="true" hidden="false" outlineLevel="0" max="8" min="8" style="0" width="28"/>
    <col collapsed="false" customWidth="true" hidden="false" outlineLevel="0" max="9" min="9" style="0" width="34"/>
    <col collapsed="false" customWidth="true" hidden="false" outlineLevel="0" max="10" min="10" style="0" width="14"/>
    <col collapsed="false" customWidth="true" hidden="false" outlineLevel="0" max="11" min="11" style="0" width="22"/>
    <col collapsed="false" customWidth="true" hidden="false" outlineLevel="0" max="12" min="12" style="0" width="20"/>
  </cols>
  <sheetData>
    <row r="1" customFormat="false" ht="24" hidden="false" customHeight="true" outlineLevel="0" collapsed="false">
      <c r="A1" s="1" t="s">
        <v>290</v>
      </c>
      <c r="B1" s="1"/>
      <c r="C1" s="1"/>
      <c r="D1" s="1"/>
      <c r="E1" s="1"/>
      <c r="F1" s="1"/>
      <c r="G1" s="1"/>
      <c r="H1" s="1"/>
      <c r="I1" s="1"/>
      <c r="J1" s="1"/>
      <c r="K1" s="1"/>
      <c r="L1" s="1"/>
    </row>
    <row r="2" customFormat="false" ht="15" hidden="false" customHeight="false" outlineLevel="0" collapsed="false">
      <c r="A2" s="2" t="s">
        <v>291</v>
      </c>
      <c r="B2" s="2"/>
      <c r="C2" s="2"/>
      <c r="D2" s="2"/>
      <c r="E2" s="2"/>
      <c r="F2" s="2"/>
      <c r="G2" s="2"/>
      <c r="H2" s="2"/>
      <c r="I2" s="2"/>
      <c r="J2" s="2"/>
      <c r="K2" s="2"/>
      <c r="L2" s="2"/>
    </row>
    <row r="3" customFormat="false" ht="15" hidden="false" customHeight="false" outlineLevel="0" collapsed="false">
      <c r="A3" s="3" t="s">
        <v>2</v>
      </c>
      <c r="B3" s="3"/>
      <c r="C3" s="3"/>
      <c r="D3" s="3"/>
      <c r="E3" s="3"/>
      <c r="F3" s="3"/>
      <c r="G3" s="3"/>
      <c r="H3" s="3"/>
      <c r="I3" s="3"/>
      <c r="J3" s="3"/>
      <c r="K3" s="3"/>
      <c r="L3" s="3"/>
    </row>
    <row r="5" customFormat="false" ht="30" hidden="false" customHeight="true" outlineLevel="0" collapsed="false">
      <c r="A5" s="4" t="s">
        <v>292</v>
      </c>
      <c r="B5" s="4" t="s">
        <v>293</v>
      </c>
      <c r="C5" s="4" t="s">
        <v>294</v>
      </c>
      <c r="D5" s="4" t="s">
        <v>295</v>
      </c>
      <c r="E5" s="4" t="s">
        <v>296</v>
      </c>
      <c r="F5" s="4" t="s">
        <v>297</v>
      </c>
      <c r="G5" s="4" t="s">
        <v>298</v>
      </c>
      <c r="H5" s="4" t="s">
        <v>299</v>
      </c>
      <c r="I5" s="4" t="s">
        <v>300</v>
      </c>
      <c r="J5" s="4" t="s">
        <v>301</v>
      </c>
      <c r="K5" s="4" t="s">
        <v>302</v>
      </c>
      <c r="L5" s="4" t="s">
        <v>303</v>
      </c>
    </row>
    <row r="6" customFormat="false" ht="23.85" hidden="false" customHeight="false" outlineLevel="0" collapsed="false">
      <c r="A6" s="5" t="n">
        <v>1</v>
      </c>
      <c r="B6" s="5" t="s">
        <v>35</v>
      </c>
      <c r="C6" s="7" t="s">
        <v>36</v>
      </c>
      <c r="D6" s="5" t="s">
        <v>304</v>
      </c>
      <c r="E6" s="7" t="s">
        <v>305</v>
      </c>
      <c r="F6" s="7" t="s">
        <v>306</v>
      </c>
      <c r="G6" s="7" t="s">
        <v>307</v>
      </c>
      <c r="H6" s="7" t="s">
        <v>308</v>
      </c>
      <c r="I6" s="5" t="s">
        <v>309</v>
      </c>
      <c r="J6" s="5" t="n">
        <v>30</v>
      </c>
      <c r="K6" s="5" t="s">
        <v>304</v>
      </c>
      <c r="L6" s="7" t="s">
        <v>36</v>
      </c>
    </row>
    <row r="7" customFormat="false" ht="23.85" hidden="false" customHeight="false" outlineLevel="0" collapsed="false">
      <c r="A7" s="6" t="n">
        <v>2</v>
      </c>
      <c r="B7" s="6" t="s">
        <v>310</v>
      </c>
      <c r="C7" s="7" t="s">
        <v>36</v>
      </c>
      <c r="D7" s="6" t="s">
        <v>304</v>
      </c>
      <c r="E7" s="7" t="s">
        <v>305</v>
      </c>
      <c r="F7" s="7" t="s">
        <v>306</v>
      </c>
      <c r="G7" s="7" t="s">
        <v>307</v>
      </c>
      <c r="H7" s="7" t="s">
        <v>311</v>
      </c>
      <c r="I7" s="6" t="s">
        <v>312</v>
      </c>
      <c r="J7" s="6" t="n">
        <v>40</v>
      </c>
      <c r="K7" s="6" t="s">
        <v>304</v>
      </c>
      <c r="L7" s="7" t="s">
        <v>36</v>
      </c>
    </row>
    <row r="8" customFormat="false" ht="23.85" hidden="false" customHeight="false" outlineLevel="0" collapsed="false">
      <c r="A8" s="5" t="n">
        <v>3</v>
      </c>
      <c r="B8" s="5" t="s">
        <v>313</v>
      </c>
      <c r="C8" s="7" t="s">
        <v>36</v>
      </c>
      <c r="D8" s="5" t="s">
        <v>304</v>
      </c>
      <c r="E8" s="7" t="s">
        <v>305</v>
      </c>
      <c r="F8" s="7" t="s">
        <v>306</v>
      </c>
      <c r="G8" s="7" t="s">
        <v>307</v>
      </c>
      <c r="H8" s="7" t="s">
        <v>311</v>
      </c>
      <c r="I8" s="5" t="s">
        <v>314</v>
      </c>
      <c r="J8" s="5" t="n">
        <v>40</v>
      </c>
      <c r="K8" s="5" t="s">
        <v>304</v>
      </c>
      <c r="L8" s="7" t="s">
        <v>36</v>
      </c>
    </row>
    <row r="9" customFormat="false" ht="23.85" hidden="false" customHeight="false" outlineLevel="0" collapsed="false">
      <c r="A9" s="6" t="n">
        <v>4</v>
      </c>
      <c r="B9" s="6" t="s">
        <v>315</v>
      </c>
      <c r="C9" s="7" t="s">
        <v>36</v>
      </c>
      <c r="D9" s="6" t="s">
        <v>304</v>
      </c>
      <c r="E9" s="7" t="s">
        <v>305</v>
      </c>
      <c r="F9" s="7" t="s">
        <v>306</v>
      </c>
      <c r="G9" s="7" t="s">
        <v>307</v>
      </c>
      <c r="H9" s="7" t="s">
        <v>311</v>
      </c>
      <c r="I9" s="6" t="s">
        <v>316</v>
      </c>
      <c r="J9" s="6" t="n">
        <v>30</v>
      </c>
      <c r="K9" s="6" t="s">
        <v>304</v>
      </c>
      <c r="L9" s="7" t="s">
        <v>36</v>
      </c>
    </row>
    <row r="10" customFormat="false" ht="23.85" hidden="false" customHeight="false" outlineLevel="0" collapsed="false">
      <c r="A10" s="5" t="n">
        <v>5</v>
      </c>
      <c r="B10" s="5" t="s">
        <v>317</v>
      </c>
      <c r="C10" s="7" t="s">
        <v>36</v>
      </c>
      <c r="D10" s="5" t="s">
        <v>318</v>
      </c>
      <c r="E10" s="7" t="s">
        <v>305</v>
      </c>
      <c r="F10" s="7" t="s">
        <v>306</v>
      </c>
      <c r="G10" s="7" t="s">
        <v>307</v>
      </c>
      <c r="H10" s="7" t="s">
        <v>311</v>
      </c>
      <c r="I10" s="5" t="s">
        <v>319</v>
      </c>
      <c r="J10" s="5" t="n">
        <v>40</v>
      </c>
      <c r="K10" s="5" t="s">
        <v>320</v>
      </c>
      <c r="L10" s="7" t="s">
        <v>36</v>
      </c>
    </row>
    <row r="11" customFormat="false" ht="23.85" hidden="false" customHeight="false" outlineLevel="0" collapsed="false">
      <c r="A11" s="6" t="n">
        <v>6</v>
      </c>
      <c r="B11" s="6" t="s">
        <v>321</v>
      </c>
      <c r="C11" s="7" t="s">
        <v>36</v>
      </c>
      <c r="D11" s="6" t="s">
        <v>322</v>
      </c>
      <c r="E11" s="7" t="s">
        <v>305</v>
      </c>
      <c r="F11" s="7" t="s">
        <v>306</v>
      </c>
      <c r="G11" s="7" t="s">
        <v>307</v>
      </c>
      <c r="H11" s="7" t="s">
        <v>311</v>
      </c>
      <c r="I11" s="6" t="s">
        <v>323</v>
      </c>
      <c r="J11" s="6" t="n">
        <v>50</v>
      </c>
      <c r="K11" s="6" t="s">
        <v>320</v>
      </c>
      <c r="L11" s="7" t="s">
        <v>36</v>
      </c>
    </row>
    <row r="12" customFormat="false" ht="23.85" hidden="false" customHeight="false" outlineLevel="0" collapsed="false">
      <c r="A12" s="5" t="n">
        <v>7</v>
      </c>
      <c r="B12" s="5" t="s">
        <v>324</v>
      </c>
      <c r="C12" s="7" t="s">
        <v>36</v>
      </c>
      <c r="D12" s="5" t="s">
        <v>325</v>
      </c>
      <c r="E12" s="7" t="s">
        <v>305</v>
      </c>
      <c r="F12" s="7" t="s">
        <v>306</v>
      </c>
      <c r="G12" s="7" t="s">
        <v>307</v>
      </c>
      <c r="H12" s="7" t="s">
        <v>311</v>
      </c>
      <c r="I12" s="5" t="s">
        <v>326</v>
      </c>
      <c r="J12" s="5" t="n">
        <v>60</v>
      </c>
      <c r="K12" s="5" t="s">
        <v>327</v>
      </c>
      <c r="L12" s="7" t="s">
        <v>36</v>
      </c>
    </row>
    <row r="13" customFormat="false" ht="23.85" hidden="false" customHeight="false" outlineLevel="0" collapsed="false">
      <c r="A13" s="6" t="n">
        <v>8</v>
      </c>
      <c r="B13" s="6" t="s">
        <v>328</v>
      </c>
      <c r="C13" s="7" t="s">
        <v>36</v>
      </c>
      <c r="D13" s="6" t="s">
        <v>325</v>
      </c>
      <c r="E13" s="7" t="s">
        <v>305</v>
      </c>
      <c r="F13" s="7" t="s">
        <v>306</v>
      </c>
      <c r="G13" s="7" t="s">
        <v>307</v>
      </c>
      <c r="H13" s="7" t="s">
        <v>311</v>
      </c>
      <c r="I13" s="6" t="s">
        <v>329</v>
      </c>
      <c r="J13" s="6" t="n">
        <v>60</v>
      </c>
      <c r="K13" s="6" t="s">
        <v>327</v>
      </c>
      <c r="L13" s="7" t="s">
        <v>36</v>
      </c>
    </row>
    <row r="14" customFormat="false" ht="15" hidden="false" customHeight="false" outlineLevel="0" collapsed="false">
      <c r="A14" s="5" t="n">
        <v>9</v>
      </c>
      <c r="B14" s="5" t="s">
        <v>330</v>
      </c>
      <c r="C14" s="7" t="s">
        <v>36</v>
      </c>
      <c r="D14" s="5" t="s">
        <v>331</v>
      </c>
      <c r="E14" s="7" t="s">
        <v>305</v>
      </c>
      <c r="F14" s="7" t="s">
        <v>306</v>
      </c>
      <c r="G14" s="7" t="s">
        <v>307</v>
      </c>
      <c r="H14" s="7" t="s">
        <v>311</v>
      </c>
      <c r="I14" s="5" t="s">
        <v>332</v>
      </c>
      <c r="J14" s="5" t="n">
        <v>60</v>
      </c>
      <c r="K14" s="5" t="s">
        <v>333</v>
      </c>
      <c r="L14" s="7" t="s">
        <v>36</v>
      </c>
    </row>
    <row r="15" customFormat="false" ht="23.85" hidden="false" customHeight="false" outlineLevel="0" collapsed="false">
      <c r="A15" s="6" t="n">
        <v>10</v>
      </c>
      <c r="B15" s="6" t="s">
        <v>334</v>
      </c>
      <c r="C15" s="7" t="s">
        <v>36</v>
      </c>
      <c r="D15" s="6" t="s">
        <v>335</v>
      </c>
      <c r="E15" s="7" t="s">
        <v>305</v>
      </c>
      <c r="F15" s="7" t="s">
        <v>336</v>
      </c>
      <c r="G15" s="7" t="s">
        <v>307</v>
      </c>
      <c r="H15" s="7" t="s">
        <v>311</v>
      </c>
      <c r="I15" s="6" t="s">
        <v>337</v>
      </c>
      <c r="J15" s="6" t="n">
        <v>50</v>
      </c>
      <c r="K15" s="6" t="s">
        <v>338</v>
      </c>
      <c r="L15" s="7" t="s">
        <v>36</v>
      </c>
    </row>
    <row r="16" customFormat="false" ht="23.85" hidden="false" customHeight="false" outlineLevel="0" collapsed="false">
      <c r="A16" s="5" t="n">
        <v>11</v>
      </c>
      <c r="B16" s="5" t="s">
        <v>339</v>
      </c>
      <c r="C16" s="7" t="s">
        <v>36</v>
      </c>
      <c r="D16" s="5" t="s">
        <v>340</v>
      </c>
      <c r="E16" s="7" t="s">
        <v>305</v>
      </c>
      <c r="F16" s="7" t="s">
        <v>306</v>
      </c>
      <c r="G16" s="7" t="s">
        <v>307</v>
      </c>
      <c r="H16" s="7" t="s">
        <v>341</v>
      </c>
      <c r="I16" s="5" t="s">
        <v>342</v>
      </c>
      <c r="J16" s="5" t="n">
        <v>70</v>
      </c>
      <c r="K16" s="5" t="s">
        <v>343</v>
      </c>
      <c r="L16" s="7" t="s">
        <v>36</v>
      </c>
    </row>
    <row r="17" customFormat="false" ht="23.85" hidden="false" customHeight="false" outlineLevel="0" collapsed="false">
      <c r="A17" s="6" t="n">
        <v>12</v>
      </c>
      <c r="B17" s="6" t="s">
        <v>344</v>
      </c>
      <c r="C17" s="7" t="s">
        <v>36</v>
      </c>
      <c r="D17" s="6" t="s">
        <v>340</v>
      </c>
      <c r="E17" s="7" t="s">
        <v>305</v>
      </c>
      <c r="F17" s="7" t="s">
        <v>306</v>
      </c>
      <c r="G17" s="7" t="s">
        <v>307</v>
      </c>
      <c r="H17" s="7" t="s">
        <v>345</v>
      </c>
      <c r="I17" s="6" t="s">
        <v>342</v>
      </c>
      <c r="J17" s="6" t="n">
        <v>70</v>
      </c>
      <c r="K17" s="6" t="s">
        <v>343</v>
      </c>
      <c r="L17" s="7" t="s">
        <v>36</v>
      </c>
    </row>
    <row r="18" customFormat="false" ht="23.85" hidden="false" customHeight="false" outlineLevel="0" collapsed="false">
      <c r="A18" s="5" t="n">
        <v>13</v>
      </c>
      <c r="B18" s="5" t="s">
        <v>346</v>
      </c>
      <c r="C18" s="7" t="s">
        <v>36</v>
      </c>
      <c r="D18" s="5" t="s">
        <v>346</v>
      </c>
      <c r="E18" s="7" t="s">
        <v>305</v>
      </c>
      <c r="F18" s="5" t="s">
        <v>347</v>
      </c>
      <c r="G18" s="5" t="s">
        <v>347</v>
      </c>
      <c r="H18" s="7" t="s">
        <v>311</v>
      </c>
      <c r="I18" s="5" t="s">
        <v>348</v>
      </c>
      <c r="J18" s="5" t="n">
        <v>40</v>
      </c>
      <c r="K18" s="5" t="s">
        <v>346</v>
      </c>
      <c r="L18" s="7" t="s">
        <v>36</v>
      </c>
    </row>
    <row r="19" customFormat="false" ht="23.85" hidden="false" customHeight="false" outlineLevel="0" collapsed="false">
      <c r="A19" s="6" t="n">
        <v>14</v>
      </c>
      <c r="B19" s="6" t="s">
        <v>349</v>
      </c>
      <c r="C19" s="7" t="s">
        <v>36</v>
      </c>
      <c r="D19" s="6" t="s">
        <v>350</v>
      </c>
      <c r="E19" s="7" t="s">
        <v>305</v>
      </c>
      <c r="F19" s="6" t="s">
        <v>347</v>
      </c>
      <c r="G19" s="6" t="s">
        <v>347</v>
      </c>
      <c r="H19" s="6" t="s">
        <v>351</v>
      </c>
      <c r="I19" s="6" t="s">
        <v>352</v>
      </c>
      <c r="J19" s="6" t="s">
        <v>347</v>
      </c>
      <c r="K19" s="6" t="s">
        <v>353</v>
      </c>
      <c r="L19" s="7" t="s">
        <v>36</v>
      </c>
    </row>
    <row r="20" customFormat="false" ht="23.85" hidden="false" customHeight="false" outlineLevel="0" collapsed="false">
      <c r="A20" s="5" t="n">
        <v>15</v>
      </c>
      <c r="B20" s="5" t="s">
        <v>354</v>
      </c>
      <c r="C20" s="7" t="s">
        <v>36</v>
      </c>
      <c r="D20" s="5" t="s">
        <v>355</v>
      </c>
      <c r="E20" s="7" t="s">
        <v>305</v>
      </c>
      <c r="F20" s="5" t="s">
        <v>347</v>
      </c>
      <c r="G20" s="5" t="s">
        <v>347</v>
      </c>
      <c r="H20" s="5" t="s">
        <v>351</v>
      </c>
      <c r="I20" s="5" t="s">
        <v>356</v>
      </c>
      <c r="J20" s="5" t="s">
        <v>347</v>
      </c>
      <c r="K20" s="5" t="s">
        <v>353</v>
      </c>
      <c r="L20" s="7" t="s">
        <v>36</v>
      </c>
    </row>
    <row r="22" customFormat="false" ht="15" hidden="false" customHeight="false" outlineLevel="0" collapsed="false">
      <c r="B22" s="10" t="s">
        <v>357</v>
      </c>
    </row>
    <row r="23" customFormat="false" ht="27.75" hidden="false" customHeight="true" outlineLevel="0" collapsed="false">
      <c r="B23" s="11" t="s">
        <v>358</v>
      </c>
      <c r="C23" s="11"/>
      <c r="D23" s="11"/>
      <c r="E23" s="11"/>
      <c r="F23" s="11"/>
      <c r="G23" s="11"/>
      <c r="H23" s="11"/>
      <c r="I23" s="11"/>
      <c r="J23" s="11"/>
      <c r="K23" s="11"/>
      <c r="L23" s="11"/>
    </row>
    <row r="24" customFormat="false" ht="27.75" hidden="false" customHeight="true" outlineLevel="0" collapsed="false">
      <c r="B24" s="11" t="s">
        <v>359</v>
      </c>
      <c r="C24" s="11"/>
      <c r="D24" s="11"/>
      <c r="E24" s="11"/>
      <c r="F24" s="11"/>
      <c r="G24" s="11"/>
      <c r="H24" s="11"/>
      <c r="I24" s="11"/>
      <c r="J24" s="11"/>
      <c r="K24" s="11"/>
      <c r="L24" s="11"/>
    </row>
    <row r="25" customFormat="false" ht="27.75" hidden="false" customHeight="true" outlineLevel="0" collapsed="false">
      <c r="B25" s="11" t="s">
        <v>360</v>
      </c>
      <c r="C25" s="11"/>
      <c r="D25" s="11"/>
      <c r="E25" s="11"/>
      <c r="F25" s="11"/>
      <c r="G25" s="11"/>
      <c r="H25" s="11"/>
      <c r="I25" s="11"/>
      <c r="J25" s="11"/>
      <c r="K25" s="11"/>
      <c r="L25" s="11"/>
    </row>
    <row r="26" customFormat="false" ht="27.75" hidden="false" customHeight="true" outlineLevel="0" collapsed="false">
      <c r="B26" s="11" t="s">
        <v>361</v>
      </c>
      <c r="C26" s="11"/>
      <c r="D26" s="11"/>
      <c r="E26" s="11"/>
      <c r="F26" s="11"/>
      <c r="G26" s="11"/>
      <c r="H26" s="11"/>
      <c r="I26" s="11"/>
      <c r="J26" s="11"/>
      <c r="K26" s="11"/>
      <c r="L26" s="11"/>
    </row>
  </sheetData>
  <mergeCells count="7">
    <mergeCell ref="A1:L1"/>
    <mergeCell ref="A2:L2"/>
    <mergeCell ref="A3:L3"/>
    <mergeCell ref="B23:L23"/>
    <mergeCell ref="B24:L24"/>
    <mergeCell ref="B25:L25"/>
    <mergeCell ref="B26:L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6" min="5" style="0" width="20"/>
    <col collapsed="false" customWidth="true" hidden="false" outlineLevel="0" max="7" min="7" style="0" width="50"/>
  </cols>
  <sheetData>
    <row r="1" customFormat="false" ht="24" hidden="false" customHeight="true" outlineLevel="0" collapsed="false">
      <c r="A1" s="1" t="s">
        <v>362</v>
      </c>
      <c r="B1" s="1"/>
      <c r="C1" s="1"/>
      <c r="D1" s="1"/>
      <c r="E1" s="1"/>
      <c r="F1" s="1"/>
      <c r="G1" s="1"/>
    </row>
    <row r="2" customFormat="false" ht="15" hidden="false" customHeight="false" outlineLevel="0" collapsed="false">
      <c r="A2" s="2" t="s">
        <v>363</v>
      </c>
      <c r="B2" s="2"/>
      <c r="C2" s="2"/>
      <c r="D2" s="2"/>
      <c r="E2" s="2"/>
      <c r="F2" s="2"/>
      <c r="G2" s="2"/>
    </row>
    <row r="3" customFormat="false" ht="15" hidden="false" customHeight="false" outlineLevel="0" collapsed="false">
      <c r="A3" s="3" t="s">
        <v>2</v>
      </c>
      <c r="B3" s="3"/>
      <c r="C3" s="3"/>
      <c r="D3" s="3"/>
      <c r="E3" s="3"/>
      <c r="F3" s="3"/>
      <c r="G3" s="3"/>
    </row>
    <row r="5" customFormat="false" ht="30" hidden="false" customHeight="true" outlineLevel="0" collapsed="false">
      <c r="A5" s="4" t="s">
        <v>364</v>
      </c>
      <c r="B5" s="4" t="s">
        <v>365</v>
      </c>
      <c r="C5" s="4" t="s">
        <v>366</v>
      </c>
      <c r="D5" s="4" t="s">
        <v>367</v>
      </c>
      <c r="E5" s="4" t="s">
        <v>368</v>
      </c>
      <c r="F5" s="4" t="s">
        <v>369</v>
      </c>
      <c r="G5" s="4" t="s">
        <v>357</v>
      </c>
    </row>
    <row r="6" customFormat="false" ht="15" hidden="false" customHeight="false" outlineLevel="0" collapsed="false">
      <c r="A6" s="5" t="s">
        <v>304</v>
      </c>
      <c r="B6" s="12" t="n">
        <v>750</v>
      </c>
      <c r="C6" s="13" t="n">
        <v>0.175</v>
      </c>
      <c r="D6" s="14" t="n">
        <f aca="false">ROUND(B6*(1-C6)/5,0)*5</f>
        <v>620</v>
      </c>
      <c r="E6" s="13" t="n">
        <v>0.15</v>
      </c>
      <c r="F6" s="15" t="n">
        <f aca="false">D6*E6</f>
        <v>93</v>
      </c>
      <c r="G6" s="5" t="s">
        <v>370</v>
      </c>
    </row>
    <row r="7" customFormat="false" ht="15" hidden="false" customHeight="false" outlineLevel="0" collapsed="false">
      <c r="A7" s="5" t="s">
        <v>320</v>
      </c>
      <c r="B7" s="12" t="n">
        <v>620</v>
      </c>
      <c r="C7" s="13" t="n">
        <v>0.16</v>
      </c>
      <c r="D7" s="14" t="n">
        <f aca="false">ROUND(B7*(1-C7)/5,0)*5</f>
        <v>520</v>
      </c>
      <c r="E7" s="13" t="n">
        <v>0.15</v>
      </c>
      <c r="F7" s="15" t="n">
        <f aca="false">D7*E7</f>
        <v>78</v>
      </c>
      <c r="G7" s="5" t="s">
        <v>371</v>
      </c>
    </row>
    <row r="8" customFormat="false" ht="15" hidden="false" customHeight="false" outlineLevel="0" collapsed="false">
      <c r="A8" s="5" t="s">
        <v>327</v>
      </c>
      <c r="B8" s="12" t="n">
        <v>480</v>
      </c>
      <c r="C8" s="13" t="n">
        <v>0.17</v>
      </c>
      <c r="D8" s="14" t="n">
        <f aca="false">ROUND(B8*(1-C8)/5,0)*5</f>
        <v>400</v>
      </c>
      <c r="E8" s="13" t="n">
        <v>0.25</v>
      </c>
      <c r="F8" s="15" t="n">
        <f aca="false">D8*E8</f>
        <v>100</v>
      </c>
      <c r="G8" s="5" t="s">
        <v>372</v>
      </c>
    </row>
    <row r="9" customFormat="false" ht="15" hidden="false" customHeight="false" outlineLevel="0" collapsed="false">
      <c r="A9" s="5" t="s">
        <v>333</v>
      </c>
      <c r="B9" s="12" t="n">
        <v>380</v>
      </c>
      <c r="C9" s="13" t="n">
        <v>0.17</v>
      </c>
      <c r="D9" s="14" t="n">
        <f aca="false">ROUND(B9*(1-C9)/5,0)*5</f>
        <v>315</v>
      </c>
      <c r="E9" s="13" t="n">
        <v>0.15</v>
      </c>
      <c r="F9" s="15" t="n">
        <f aca="false">D9*E9</f>
        <v>47.25</v>
      </c>
      <c r="G9" s="5" t="s">
        <v>373</v>
      </c>
    </row>
    <row r="10" customFormat="false" ht="15" hidden="false" customHeight="false" outlineLevel="0" collapsed="false">
      <c r="A10" s="5" t="s">
        <v>343</v>
      </c>
      <c r="B10" s="12" t="n">
        <v>380</v>
      </c>
      <c r="C10" s="13" t="n">
        <v>0.17</v>
      </c>
      <c r="D10" s="14" t="n">
        <f aca="false">ROUND(B10*(1-C10)/5,0)*5</f>
        <v>315</v>
      </c>
      <c r="E10" s="13" t="n">
        <v>0.2</v>
      </c>
      <c r="F10" s="15" t="n">
        <f aca="false">D10*E10</f>
        <v>63</v>
      </c>
      <c r="G10" s="5" t="s">
        <v>374</v>
      </c>
    </row>
    <row r="11" customFormat="false" ht="15" hidden="false" customHeight="false" outlineLevel="0" collapsed="false">
      <c r="A11" s="5" t="s">
        <v>338</v>
      </c>
      <c r="B11" s="12" t="n">
        <v>340</v>
      </c>
      <c r="C11" s="13" t="n">
        <v>0.15</v>
      </c>
      <c r="D11" s="14" t="n">
        <f aca="false">ROUND(B11*(1-C11)/5,0)*5</f>
        <v>290</v>
      </c>
      <c r="E11" s="13" t="n">
        <v>0.05</v>
      </c>
      <c r="F11" s="15" t="n">
        <f aca="false">D11*E11</f>
        <v>14.5</v>
      </c>
      <c r="G11" s="5" t="s">
        <v>375</v>
      </c>
    </row>
    <row r="12" customFormat="false" ht="15" hidden="false" customHeight="false" outlineLevel="0" collapsed="false">
      <c r="A12" s="5" t="s">
        <v>346</v>
      </c>
      <c r="B12" s="12" t="n">
        <v>180</v>
      </c>
      <c r="C12" s="13" t="n">
        <v>0.17</v>
      </c>
      <c r="D12" s="14" t="n">
        <f aca="false">ROUND(B12*(1-C12)/5,0)*5</f>
        <v>150</v>
      </c>
      <c r="E12" s="13" t="n">
        <v>0.05</v>
      </c>
      <c r="F12" s="15" t="n">
        <f aca="false">D12*E12</f>
        <v>7.5</v>
      </c>
      <c r="G12" s="5" t="s">
        <v>376</v>
      </c>
    </row>
    <row r="13" customFormat="false" ht="15" hidden="false" customHeight="false" outlineLevel="0" collapsed="false">
      <c r="A13" s="10" t="s">
        <v>377</v>
      </c>
      <c r="E13" s="16" t="n">
        <f aca="false">SUM(E6:E12)</f>
        <v>1</v>
      </c>
      <c r="G13" s="10" t="str">
        <f aca="false">IF(ABS(E13-1)&lt;0.0001,"OK – shares sum to 100%","Check – shares must sum to 100%")</f>
        <v>OK – shares sum to 100%</v>
      </c>
    </row>
    <row r="14" customFormat="false" ht="15" hidden="false" customHeight="false" outlineLevel="0" collapsed="false">
      <c r="A14" s="10" t="s">
        <v>378</v>
      </c>
      <c r="D14" s="17" t="n">
        <f aca="false">IF(E13=0,0,SUMPRODUCT(D6:D12,E6:E12)/E13)</f>
        <v>403.25</v>
      </c>
      <c r="G14" s="18" t="s">
        <v>379</v>
      </c>
    </row>
    <row r="15" customFormat="false" ht="15" hidden="false" customHeight="false" outlineLevel="0" collapsed="false">
      <c r="A15" s="10" t="s">
        <v>380</v>
      </c>
      <c r="D15" s="16" t="n">
        <f aca="false">IF(SUMPRODUCT(B6:B12,E6:E12)=0,0,1-SUMPRODUCT(D6:D12,E6:E12)/SUMPRODUCT(B6:B12,E6:E12))</f>
        <v>0.167698658410733</v>
      </c>
    </row>
    <row r="17" customFormat="false" ht="15" hidden="false" customHeight="false" outlineLevel="0" collapsed="false">
      <c r="A17" s="10" t="s">
        <v>381</v>
      </c>
    </row>
    <row r="18" customFormat="false" ht="30" hidden="false" customHeight="true" outlineLevel="0" collapsed="false">
      <c r="A18" s="11" t="s">
        <v>382</v>
      </c>
      <c r="B18" s="11"/>
      <c r="C18" s="11"/>
      <c r="D18" s="11"/>
      <c r="E18" s="11"/>
      <c r="F18" s="11"/>
      <c r="G18" s="11"/>
    </row>
    <row r="19" customFormat="false" ht="30" hidden="false" customHeight="true" outlineLevel="0" collapsed="false">
      <c r="A19" s="11" t="s">
        <v>383</v>
      </c>
      <c r="B19" s="11"/>
      <c r="C19" s="11"/>
      <c r="D19" s="11"/>
      <c r="E19" s="11"/>
      <c r="F19" s="11"/>
      <c r="G19" s="11"/>
    </row>
    <row r="20" customFormat="false" ht="30" hidden="false" customHeight="true" outlineLevel="0" collapsed="false">
      <c r="A20" s="11" t="s">
        <v>384</v>
      </c>
      <c r="B20" s="11"/>
      <c r="C20" s="11"/>
      <c r="D20" s="11"/>
      <c r="E20" s="11"/>
      <c r="F20" s="11"/>
      <c r="G20" s="11"/>
    </row>
    <row r="21" customFormat="false" ht="30" hidden="false" customHeight="true" outlineLevel="0" collapsed="false">
      <c r="A21" s="11" t="s">
        <v>385</v>
      </c>
      <c r="B21" s="11"/>
      <c r="C21" s="11"/>
      <c r="D21" s="11"/>
      <c r="E21" s="11"/>
      <c r="F21" s="11"/>
      <c r="G21" s="11"/>
    </row>
    <row r="22" customFormat="false" ht="30" hidden="false" customHeight="true" outlineLevel="0" collapsed="false">
      <c r="A22" s="11" t="s">
        <v>386</v>
      </c>
      <c r="B22" s="11"/>
      <c r="C22" s="11"/>
      <c r="D22" s="11"/>
      <c r="E22" s="11"/>
      <c r="F22" s="11"/>
      <c r="G22" s="11"/>
    </row>
  </sheetData>
  <mergeCells count="8">
    <mergeCell ref="A1:G1"/>
    <mergeCell ref="A2:G2"/>
    <mergeCell ref="A3:G3"/>
    <mergeCell ref="A18:G18"/>
    <mergeCell ref="A19:G19"/>
    <mergeCell ref="A20:G20"/>
    <mergeCell ref="A21:G21"/>
    <mergeCell ref="A22:G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F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20"/>
    <col collapsed="false" customWidth="true" hidden="false" outlineLevel="0" max="5" min="5" style="0" width="22"/>
    <col collapsed="false" customWidth="true" hidden="false" outlineLevel="0" max="6" min="6" style="0" width="60"/>
  </cols>
  <sheetData>
    <row r="1" customFormat="false" ht="24" hidden="false" customHeight="true" outlineLevel="0" collapsed="false">
      <c r="A1" s="1" t="s">
        <v>387</v>
      </c>
      <c r="B1" s="1"/>
      <c r="C1" s="1"/>
      <c r="D1" s="1"/>
      <c r="E1" s="1"/>
      <c r="F1" s="1"/>
    </row>
    <row r="2" customFormat="false" ht="15" hidden="false" customHeight="false" outlineLevel="0" collapsed="false">
      <c r="A2" s="2" t="s">
        <v>388</v>
      </c>
      <c r="B2" s="2"/>
      <c r="C2" s="2"/>
      <c r="D2" s="2"/>
      <c r="E2" s="2"/>
      <c r="F2" s="2"/>
    </row>
    <row r="3" customFormat="false" ht="15" hidden="false" customHeight="false" outlineLevel="0" collapsed="false">
      <c r="A3" s="3" t="s">
        <v>2</v>
      </c>
      <c r="B3" s="3"/>
      <c r="C3" s="3"/>
      <c r="D3" s="3"/>
      <c r="E3" s="3"/>
      <c r="F3" s="3"/>
    </row>
    <row r="5" customFormat="false" ht="15" hidden="false" customHeight="true" outlineLevel="0" collapsed="false">
      <c r="A5" s="8" t="s">
        <v>389</v>
      </c>
      <c r="B5" s="8"/>
      <c r="C5" s="8"/>
      <c r="D5" s="8"/>
      <c r="E5" s="8"/>
      <c r="F5" s="8"/>
    </row>
    <row r="6" customFormat="false" ht="30" hidden="false" customHeight="true" outlineLevel="0" collapsed="false">
      <c r="A6" s="4" t="s">
        <v>390</v>
      </c>
      <c r="B6" s="4" t="s">
        <v>391</v>
      </c>
      <c r="C6" s="4" t="s">
        <v>392</v>
      </c>
      <c r="D6" s="4" t="s">
        <v>393</v>
      </c>
      <c r="E6" s="4" t="s">
        <v>394</v>
      </c>
      <c r="F6" s="4" t="s">
        <v>381</v>
      </c>
    </row>
    <row r="7" customFormat="false" ht="23.85" hidden="false" customHeight="false" outlineLevel="0" collapsed="false">
      <c r="A7" s="5" t="s">
        <v>395</v>
      </c>
      <c r="B7" s="7" t="n">
        <v>40</v>
      </c>
      <c r="C7" s="12" t="n">
        <v>15000</v>
      </c>
      <c r="D7" s="19" t="n">
        <f aca="false">IF(B7=0,0,C7/B7)</f>
        <v>375</v>
      </c>
      <c r="E7" s="19" t="n">
        <f aca="false">ROUND('Rate Card'!D14*(1-0.1),0)</f>
        <v>363</v>
      </c>
      <c r="F7" s="5" t="s">
        <v>396</v>
      </c>
    </row>
    <row r="8" customFormat="false" ht="23.85" hidden="false" customHeight="false" outlineLevel="0" collapsed="false">
      <c r="A8" s="5" t="s">
        <v>397</v>
      </c>
      <c r="B8" s="7" t="n">
        <v>80</v>
      </c>
      <c r="C8" s="12" t="n">
        <v>28000</v>
      </c>
      <c r="D8" s="19" t="n">
        <f aca="false">IF(B8=0,0,C8/B8)</f>
        <v>350</v>
      </c>
      <c r="E8" s="19" t="n">
        <f aca="false">ROUND('Rate Card'!D14*(1-0.1),0)</f>
        <v>363</v>
      </c>
      <c r="F8" s="5" t="s">
        <v>396</v>
      </c>
    </row>
    <row r="9" customFormat="false" ht="23.85" hidden="false" customHeight="false" outlineLevel="0" collapsed="false">
      <c r="A9" s="5" t="s">
        <v>398</v>
      </c>
      <c r="B9" s="7" t="n">
        <v>150</v>
      </c>
      <c r="C9" s="12" t="n">
        <v>50000</v>
      </c>
      <c r="D9" s="19" t="n">
        <f aca="false">IF(B9=0,0,C9/B9)</f>
        <v>333.333333333333</v>
      </c>
      <c r="E9" s="19" t="n">
        <f aca="false">ROUND('Rate Card'!D14*(1-0.1),0)</f>
        <v>363</v>
      </c>
      <c r="F9" s="5" t="s">
        <v>396</v>
      </c>
    </row>
    <row r="11" customFormat="false" ht="15" hidden="false" customHeight="true" outlineLevel="0" collapsed="false">
      <c r="A11" s="8" t="s">
        <v>399</v>
      </c>
      <c r="B11" s="8"/>
      <c r="C11" s="8"/>
      <c r="D11" s="8"/>
      <c r="E11" s="8"/>
      <c r="F11" s="8"/>
    </row>
    <row r="12" customFormat="false" ht="30" hidden="false" customHeight="true" outlineLevel="0" collapsed="false">
      <c r="A12" s="4" t="s">
        <v>400</v>
      </c>
      <c r="B12" s="4" t="s">
        <v>401</v>
      </c>
      <c r="C12" s="4" t="s">
        <v>402</v>
      </c>
      <c r="D12" s="4" t="s">
        <v>403</v>
      </c>
      <c r="E12" s="4" t="s">
        <v>404</v>
      </c>
      <c r="F12" s="4" t="s">
        <v>75</v>
      </c>
    </row>
    <row r="13" customFormat="false" ht="15" hidden="false" customHeight="false" outlineLevel="0" collapsed="false">
      <c r="A13" s="5" t="s">
        <v>405</v>
      </c>
      <c r="B13" s="12" t="n">
        <v>380</v>
      </c>
      <c r="C13" s="20" t="n">
        <v>0.25</v>
      </c>
      <c r="D13" s="19" t="n">
        <f aca="false">ROUND(B13*(1+C13),0)</f>
        <v>475</v>
      </c>
      <c r="E13" s="5" t="s">
        <v>406</v>
      </c>
      <c r="F13" s="5" t="s">
        <v>407</v>
      </c>
    </row>
    <row r="14" customFormat="false" ht="15" hidden="false" customHeight="false" outlineLevel="0" collapsed="false">
      <c r="A14" s="5" t="s">
        <v>408</v>
      </c>
      <c r="B14" s="12" t="n">
        <v>450</v>
      </c>
      <c r="C14" s="20" t="n">
        <v>0.25</v>
      </c>
      <c r="D14" s="19" t="n">
        <f aca="false">ROUND(B14*(1+C14),0)</f>
        <v>563</v>
      </c>
      <c r="E14" s="5" t="s">
        <v>409</v>
      </c>
      <c r="F14" s="5" t="s">
        <v>410</v>
      </c>
    </row>
    <row r="15" customFormat="false" ht="15" hidden="false" customHeight="false" outlineLevel="0" collapsed="false">
      <c r="A15" s="5" t="s">
        <v>411</v>
      </c>
      <c r="B15" s="12" t="n">
        <v>520</v>
      </c>
      <c r="C15" s="20" t="n">
        <v>0.25</v>
      </c>
      <c r="D15" s="19" t="n">
        <f aca="false">ROUND(B15*(1+C15),0)</f>
        <v>650</v>
      </c>
      <c r="E15" s="5" t="s">
        <v>412</v>
      </c>
      <c r="F15" s="5" t="s">
        <v>413</v>
      </c>
    </row>
    <row r="16" customFormat="false" ht="15" hidden="false" customHeight="false" outlineLevel="0" collapsed="false">
      <c r="A16" s="5" t="s">
        <v>414</v>
      </c>
      <c r="B16" s="12" t="n">
        <v>220</v>
      </c>
      <c r="C16" s="20" t="n">
        <v>0.25</v>
      </c>
      <c r="D16" s="19" t="n">
        <f aca="false">ROUND(B16*(1+C16),0)</f>
        <v>275</v>
      </c>
      <c r="E16" s="5" t="s">
        <v>406</v>
      </c>
      <c r="F16" s="5" t="s">
        <v>415</v>
      </c>
    </row>
    <row r="18" customFormat="false" ht="15" hidden="false" customHeight="true" outlineLevel="0" collapsed="false">
      <c r="A18" s="8" t="s">
        <v>416</v>
      </c>
      <c r="B18" s="8"/>
      <c r="C18" s="8"/>
      <c r="D18" s="8"/>
      <c r="E18" s="8"/>
      <c r="F18" s="8"/>
    </row>
    <row r="19" customFormat="false" ht="30" hidden="false" customHeight="true" outlineLevel="0" collapsed="false">
      <c r="A19" s="4" t="s">
        <v>417</v>
      </c>
      <c r="B19" s="4" t="s">
        <v>418</v>
      </c>
      <c r="C19" s="4"/>
      <c r="D19" s="4"/>
      <c r="E19" s="4" t="s">
        <v>419</v>
      </c>
      <c r="F19" s="4" t="s">
        <v>420</v>
      </c>
    </row>
    <row r="20" customFormat="false" ht="15" hidden="false" customHeight="false" outlineLevel="0" collapsed="false">
      <c r="A20" s="5" t="s">
        <v>421</v>
      </c>
      <c r="B20" s="12" t="n">
        <v>9000</v>
      </c>
      <c r="C20" s="21"/>
      <c r="D20" s="21"/>
      <c r="E20" s="5" t="s">
        <v>422</v>
      </c>
      <c r="F20" s="5" t="s">
        <v>423</v>
      </c>
    </row>
    <row r="21" customFormat="false" ht="15" hidden="false" customHeight="false" outlineLevel="0" collapsed="false">
      <c r="A21" s="5" t="s">
        <v>424</v>
      </c>
      <c r="B21" s="12" t="n">
        <v>6000</v>
      </c>
      <c r="C21" s="21"/>
      <c r="D21" s="21"/>
      <c r="E21" s="5" t="s">
        <v>422</v>
      </c>
      <c r="F21" s="5" t="s">
        <v>425</v>
      </c>
    </row>
    <row r="22" customFormat="false" ht="15" hidden="false" customHeight="false" outlineLevel="0" collapsed="false">
      <c r="A22" s="5" t="s">
        <v>426</v>
      </c>
      <c r="B22" s="12" t="n">
        <v>25000</v>
      </c>
      <c r="C22" s="21"/>
      <c r="D22" s="21"/>
      <c r="E22" s="5" t="s">
        <v>427</v>
      </c>
      <c r="F22" s="5" t="s">
        <v>428</v>
      </c>
    </row>
    <row r="23" customFormat="false" ht="15" hidden="false" customHeight="false" outlineLevel="0" collapsed="false">
      <c r="A23" s="5" t="s">
        <v>429</v>
      </c>
      <c r="B23" s="12" t="n">
        <v>18000</v>
      </c>
      <c r="C23" s="21"/>
      <c r="D23" s="21"/>
      <c r="E23" s="5" t="s">
        <v>427</v>
      </c>
      <c r="F23" s="5" t="s">
        <v>430</v>
      </c>
    </row>
    <row r="24" customFormat="false" ht="15" hidden="false" customHeight="false" outlineLevel="0" collapsed="false">
      <c r="A24" s="5" t="s">
        <v>431</v>
      </c>
      <c r="B24" s="12" t="n">
        <v>12000</v>
      </c>
      <c r="C24" s="21"/>
      <c r="D24" s="21"/>
      <c r="E24" s="5" t="s">
        <v>427</v>
      </c>
      <c r="F24" s="5" t="s">
        <v>432</v>
      </c>
    </row>
    <row r="26" customFormat="false" ht="15" hidden="false" customHeight="true" outlineLevel="0" collapsed="false">
      <c r="A26" s="8" t="s">
        <v>433</v>
      </c>
      <c r="B26" s="8"/>
      <c r="C26" s="8"/>
      <c r="D26" s="8"/>
      <c r="E26" s="8"/>
      <c r="F26" s="8"/>
    </row>
    <row r="27" customFormat="false" ht="30" hidden="false" customHeight="true" outlineLevel="0" collapsed="false">
      <c r="A27" s="4" t="s">
        <v>434</v>
      </c>
      <c r="B27" s="4" t="s">
        <v>435</v>
      </c>
      <c r="C27" s="4"/>
      <c r="D27" s="4"/>
      <c r="E27" s="4"/>
      <c r="F27" s="4" t="s">
        <v>75</v>
      </c>
    </row>
    <row r="28" customFormat="false" ht="15" hidden="false" customHeight="false" outlineLevel="0" collapsed="false">
      <c r="A28" s="5" t="s">
        <v>436</v>
      </c>
      <c r="B28" s="12" t="n">
        <v>4500</v>
      </c>
      <c r="C28" s="21"/>
      <c r="D28" s="21"/>
      <c r="E28" s="21"/>
      <c r="F28" s="5" t="s">
        <v>437</v>
      </c>
    </row>
    <row r="29" customFormat="false" ht="15" hidden="false" customHeight="false" outlineLevel="0" collapsed="false">
      <c r="A29" s="5" t="s">
        <v>438</v>
      </c>
      <c r="B29" s="12" t="n">
        <v>12000</v>
      </c>
      <c r="C29" s="21"/>
      <c r="D29" s="21"/>
      <c r="E29" s="21"/>
      <c r="F29" s="5" t="s">
        <v>439</v>
      </c>
    </row>
    <row r="30" customFormat="false" ht="15" hidden="false" customHeight="false" outlineLevel="0" collapsed="false">
      <c r="A30" s="5" t="s">
        <v>440</v>
      </c>
      <c r="B30" s="12" t="n">
        <v>4000</v>
      </c>
      <c r="C30" s="21"/>
      <c r="D30" s="21"/>
      <c r="E30" s="21"/>
      <c r="F30" s="5" t="s">
        <v>441</v>
      </c>
    </row>
    <row r="31" customFormat="false" ht="15" hidden="false" customHeight="false" outlineLevel="0" collapsed="false">
      <c r="A31" s="5" t="s">
        <v>442</v>
      </c>
      <c r="B31" s="12" t="n">
        <v>1500</v>
      </c>
      <c r="C31" s="21"/>
      <c r="D31" s="21"/>
      <c r="E31" s="21"/>
      <c r="F31" s="5" t="s">
        <v>443</v>
      </c>
    </row>
    <row r="32" customFormat="false" ht="15" hidden="false" customHeight="false" outlineLevel="0" collapsed="false">
      <c r="A32" s="5" t="s">
        <v>444</v>
      </c>
      <c r="B32" s="12" t="n">
        <v>1200</v>
      </c>
      <c r="C32" s="21"/>
      <c r="D32" s="21"/>
      <c r="E32" s="21"/>
      <c r="F32" s="5" t="s">
        <v>445</v>
      </c>
    </row>
    <row r="34" customFormat="false" ht="15" hidden="false" customHeight="true" outlineLevel="0" collapsed="false">
      <c r="A34" s="8" t="s">
        <v>446</v>
      </c>
      <c r="B34" s="8"/>
      <c r="C34" s="8"/>
      <c r="D34" s="8"/>
      <c r="E34" s="8"/>
      <c r="F34" s="8"/>
    </row>
    <row r="35" customFormat="false" ht="30" hidden="false" customHeight="true" outlineLevel="0" collapsed="false">
      <c r="A35" s="4" t="s">
        <v>400</v>
      </c>
      <c r="B35" s="4" t="s">
        <v>435</v>
      </c>
      <c r="C35" s="4"/>
      <c r="D35" s="4"/>
      <c r="E35" s="4" t="s">
        <v>447</v>
      </c>
      <c r="F35" s="4" t="s">
        <v>75</v>
      </c>
    </row>
    <row r="36" customFormat="false" ht="15" hidden="false" customHeight="false" outlineLevel="0" collapsed="false">
      <c r="A36" s="5" t="s">
        <v>448</v>
      </c>
      <c r="B36" s="12" t="n">
        <v>2500</v>
      </c>
      <c r="C36" s="21"/>
      <c r="D36" s="21"/>
      <c r="E36" s="5" t="s">
        <v>449</v>
      </c>
      <c r="F36" s="5" t="s">
        <v>450</v>
      </c>
    </row>
    <row r="37" customFormat="false" ht="15" hidden="false" customHeight="false" outlineLevel="0" collapsed="false">
      <c r="A37" s="5" t="s">
        <v>451</v>
      </c>
      <c r="B37" s="12" t="n">
        <v>7500</v>
      </c>
      <c r="C37" s="21"/>
      <c r="D37" s="21"/>
      <c r="E37" s="5" t="s">
        <v>452</v>
      </c>
      <c r="F37" s="5" t="s">
        <v>453</v>
      </c>
    </row>
    <row r="38" customFormat="false" ht="15" hidden="false" customHeight="false" outlineLevel="0" collapsed="false">
      <c r="A38" s="5" t="s">
        <v>454</v>
      </c>
      <c r="B38" s="12" t="n">
        <v>15000</v>
      </c>
      <c r="C38" s="21"/>
      <c r="D38" s="21"/>
      <c r="E38" s="5" t="s">
        <v>455</v>
      </c>
      <c r="F38" s="5" t="s">
        <v>456</v>
      </c>
    </row>
    <row r="39" customFormat="false" ht="23.85" hidden="false" customHeight="false" outlineLevel="0" collapsed="false">
      <c r="A39" s="5" t="s">
        <v>457</v>
      </c>
      <c r="B39" s="12" t="n">
        <v>35000</v>
      </c>
      <c r="C39" s="21"/>
      <c r="D39" s="21"/>
      <c r="E39" s="5" t="s">
        <v>455</v>
      </c>
      <c r="F39" s="5" t="s">
        <v>458</v>
      </c>
    </row>
    <row r="41" customFormat="false" ht="15" hidden="false" customHeight="true" outlineLevel="0" collapsed="false">
      <c r="A41" s="8" t="s">
        <v>459</v>
      </c>
      <c r="B41" s="8"/>
      <c r="C41" s="8"/>
      <c r="D41" s="8"/>
      <c r="E41" s="8"/>
      <c r="F41" s="8"/>
    </row>
    <row r="42" customFormat="false" ht="30" hidden="false" customHeight="true" outlineLevel="0" collapsed="false">
      <c r="A42" s="4" t="s">
        <v>460</v>
      </c>
      <c r="B42" s="4" t="s">
        <v>461</v>
      </c>
      <c r="C42" s="4" t="s">
        <v>462</v>
      </c>
      <c r="D42" s="4" t="s">
        <v>463</v>
      </c>
      <c r="E42" s="4" t="s">
        <v>464</v>
      </c>
      <c r="F42" s="4" t="s">
        <v>465</v>
      </c>
    </row>
    <row r="43" customFormat="false" ht="15" hidden="false" customHeight="false" outlineLevel="0" collapsed="false">
      <c r="A43" s="5" t="s">
        <v>466</v>
      </c>
      <c r="B43" s="22" t="n">
        <v>12</v>
      </c>
      <c r="C43" s="19" t="n">
        <f aca="false">C8</f>
        <v>28000</v>
      </c>
      <c r="D43" s="19" t="n">
        <f aca="false">B43*C43</f>
        <v>336000</v>
      </c>
      <c r="E43" s="5" t="s">
        <v>467</v>
      </c>
      <c r="F43" s="5" t="s">
        <v>468</v>
      </c>
    </row>
    <row r="44" customFormat="false" ht="15" hidden="false" customHeight="false" outlineLevel="0" collapsed="false">
      <c r="A44" s="5" t="s">
        <v>469</v>
      </c>
      <c r="B44" s="22" t="n">
        <v>200</v>
      </c>
      <c r="C44" s="19" t="n">
        <f aca="false">B13</f>
        <v>380</v>
      </c>
      <c r="D44" s="19" t="n">
        <f aca="false">B44*C44</f>
        <v>76000</v>
      </c>
      <c r="E44" s="5" t="s">
        <v>470</v>
      </c>
      <c r="F44" s="5" t="s">
        <v>471</v>
      </c>
    </row>
    <row r="45" customFormat="false" ht="15" hidden="false" customHeight="false" outlineLevel="0" collapsed="false">
      <c r="A45" s="5" t="s">
        <v>472</v>
      </c>
      <c r="B45" s="22" t="n">
        <v>100</v>
      </c>
      <c r="C45" s="19" t="n">
        <f aca="false">B14</f>
        <v>450</v>
      </c>
      <c r="D45" s="19" t="n">
        <f aca="false">B45*C45</f>
        <v>45000</v>
      </c>
      <c r="E45" s="5" t="s">
        <v>470</v>
      </c>
      <c r="F45" s="5" t="s">
        <v>473</v>
      </c>
    </row>
    <row r="46" customFormat="false" ht="15" hidden="false" customHeight="false" outlineLevel="0" collapsed="false">
      <c r="A46" s="5" t="s">
        <v>474</v>
      </c>
      <c r="B46" s="22" t="n">
        <v>150</v>
      </c>
      <c r="C46" s="19" t="n">
        <f aca="false">B16</f>
        <v>220</v>
      </c>
      <c r="D46" s="19" t="n">
        <f aca="false">B46*C46</f>
        <v>33000</v>
      </c>
      <c r="E46" s="5" t="s">
        <v>470</v>
      </c>
      <c r="F46" s="5" t="s">
        <v>475</v>
      </c>
    </row>
    <row r="47" customFormat="false" ht="15" hidden="false" customHeight="false" outlineLevel="0" collapsed="false">
      <c r="A47" s="5" t="s">
        <v>476</v>
      </c>
      <c r="B47" s="22" t="n">
        <v>10</v>
      </c>
      <c r="C47" s="19" t="n">
        <f aca="false">B20</f>
        <v>9000</v>
      </c>
      <c r="D47" s="19" t="n">
        <f aca="false">B47*C47</f>
        <v>90000</v>
      </c>
      <c r="E47" s="5" t="s">
        <v>477</v>
      </c>
      <c r="F47" s="5" t="s">
        <v>478</v>
      </c>
    </row>
    <row r="48" customFormat="false" ht="15" hidden="false" customHeight="false" outlineLevel="0" collapsed="false">
      <c r="A48" s="5" t="s">
        <v>479</v>
      </c>
      <c r="B48" s="22" t="n">
        <v>6</v>
      </c>
      <c r="C48" s="19" t="n">
        <f aca="false">B21</f>
        <v>6000</v>
      </c>
      <c r="D48" s="19" t="n">
        <f aca="false">B48*C48</f>
        <v>36000</v>
      </c>
      <c r="E48" s="5" t="s">
        <v>477</v>
      </c>
      <c r="F48" s="5" t="s">
        <v>478</v>
      </c>
    </row>
    <row r="49" customFormat="false" ht="15" hidden="false" customHeight="false" outlineLevel="0" collapsed="false">
      <c r="A49" s="5" t="s">
        <v>480</v>
      </c>
      <c r="B49" s="22" t="n">
        <v>4</v>
      </c>
      <c r="C49" s="19" t="n">
        <f aca="false">B22</f>
        <v>25000</v>
      </c>
      <c r="D49" s="19" t="n">
        <f aca="false">B49*C49</f>
        <v>100000</v>
      </c>
      <c r="E49" s="5" t="s">
        <v>477</v>
      </c>
      <c r="F49" s="5" t="s">
        <v>478</v>
      </c>
    </row>
    <row r="50" customFormat="false" ht="15" hidden="false" customHeight="false" outlineLevel="0" collapsed="false">
      <c r="A50" s="5" t="s">
        <v>481</v>
      </c>
      <c r="B50" s="22" t="n">
        <v>15</v>
      </c>
      <c r="C50" s="19" t="n">
        <f aca="false">B29</f>
        <v>12000</v>
      </c>
      <c r="D50" s="19" t="n">
        <f aca="false">B50*C50</f>
        <v>180000</v>
      </c>
      <c r="E50" s="5" t="s">
        <v>482</v>
      </c>
      <c r="F50" s="5" t="s">
        <v>483</v>
      </c>
    </row>
    <row r="51" customFormat="false" ht="15" hidden="false" customHeight="false" outlineLevel="0" collapsed="false">
      <c r="A51" s="5" t="s">
        <v>484</v>
      </c>
      <c r="B51" s="22" t="n">
        <v>30</v>
      </c>
      <c r="C51" s="19" t="n">
        <f aca="false">B30</f>
        <v>4000</v>
      </c>
      <c r="D51" s="19" t="n">
        <f aca="false">B51*C51</f>
        <v>120000</v>
      </c>
      <c r="E51" s="5" t="s">
        <v>485</v>
      </c>
      <c r="F51" s="5" t="s">
        <v>483</v>
      </c>
    </row>
    <row r="52" customFormat="false" ht="15" hidden="false" customHeight="false" outlineLevel="0" collapsed="false">
      <c r="A52" s="5" t="s">
        <v>486</v>
      </c>
      <c r="B52" s="22" t="n">
        <v>20</v>
      </c>
      <c r="C52" s="19" t="n">
        <f aca="false">B36</f>
        <v>2500</v>
      </c>
      <c r="D52" s="19" t="n">
        <f aca="false">B52*C52</f>
        <v>50000</v>
      </c>
      <c r="E52" s="5" t="s">
        <v>487</v>
      </c>
      <c r="F52" s="5" t="s">
        <v>488</v>
      </c>
    </row>
    <row r="53" customFormat="false" ht="15" hidden="false" customHeight="false" outlineLevel="0" collapsed="false">
      <c r="A53" s="5" t="s">
        <v>489</v>
      </c>
      <c r="B53" s="22" t="n">
        <v>2</v>
      </c>
      <c r="C53" s="19" t="n">
        <f aca="false">B38</f>
        <v>15000</v>
      </c>
      <c r="D53" s="19" t="n">
        <f aca="false">B53*C53</f>
        <v>30000</v>
      </c>
      <c r="E53" s="5" t="s">
        <v>490</v>
      </c>
      <c r="F53" s="5" t="s">
        <v>491</v>
      </c>
    </row>
    <row r="54" customFormat="false" ht="15" hidden="false" customHeight="false" outlineLevel="0" collapsed="false">
      <c r="A54" s="5" t="s">
        <v>492</v>
      </c>
      <c r="B54" s="22" t="n">
        <v>1</v>
      </c>
      <c r="C54" s="19" t="n">
        <f aca="false">B39</f>
        <v>35000</v>
      </c>
      <c r="D54" s="19" t="n">
        <f aca="false">B54*C54</f>
        <v>35000</v>
      </c>
      <c r="E54" s="5" t="s">
        <v>490</v>
      </c>
      <c r="F54" s="5" t="s">
        <v>491</v>
      </c>
    </row>
    <row r="55" customFormat="false" ht="15" hidden="false" customHeight="false" outlineLevel="0" collapsed="false">
      <c r="A55" s="5" t="s">
        <v>493</v>
      </c>
      <c r="B55" s="22" t="n">
        <v>300</v>
      </c>
      <c r="C55" s="19" t="n">
        <f aca="false">'Rate Card'!D14</f>
        <v>403.25</v>
      </c>
      <c r="D55" s="19" t="n">
        <f aca="false">B55*C55</f>
        <v>120975</v>
      </c>
      <c r="E55" s="5" t="s">
        <v>494</v>
      </c>
      <c r="F55" s="5" t="s">
        <v>495</v>
      </c>
    </row>
    <row r="56" customFormat="false" ht="15" hidden="false" customHeight="false" outlineLevel="0" collapsed="false">
      <c r="A56" s="23" t="s">
        <v>496</v>
      </c>
      <c r="B56" s="21"/>
      <c r="C56" s="21"/>
      <c r="D56" s="24" t="n">
        <f aca="false">SUM(D43:D55)</f>
        <v>1251975</v>
      </c>
      <c r="E56" s="21"/>
      <c r="F56" s="25"/>
    </row>
    <row r="57" customFormat="false" ht="15" hidden="false" customHeight="false" outlineLevel="0" collapsed="false">
      <c r="A57" s="10" t="s">
        <v>497</v>
      </c>
    </row>
    <row r="58" customFormat="false" ht="15" hidden="false" customHeight="false" outlineLevel="0" collapsed="false">
      <c r="A58" s="26" t="s">
        <v>498</v>
      </c>
      <c r="B58" s="27" t="n">
        <v>500000</v>
      </c>
      <c r="C58" s="28" t="n">
        <v>0.02</v>
      </c>
      <c r="D58" s="29"/>
      <c r="E58" s="29"/>
      <c r="F58" s="30" t="s">
        <v>499</v>
      </c>
    </row>
    <row r="59" customFormat="false" ht="15" hidden="false" customHeight="false" outlineLevel="0" collapsed="false">
      <c r="A59" s="26" t="s">
        <v>498</v>
      </c>
      <c r="B59" s="27" t="n">
        <v>1000000</v>
      </c>
      <c r="C59" s="28" t="n">
        <v>0.04</v>
      </c>
      <c r="D59" s="29"/>
      <c r="E59" s="29"/>
      <c r="F59" s="30" t="s">
        <v>499</v>
      </c>
    </row>
    <row r="60" customFormat="false" ht="15" hidden="false" customHeight="false" outlineLevel="0" collapsed="false">
      <c r="A60" s="26" t="s">
        <v>498</v>
      </c>
      <c r="B60" s="27" t="n">
        <v>1500000</v>
      </c>
      <c r="C60" s="28" t="n">
        <v>0.06</v>
      </c>
      <c r="D60" s="29"/>
      <c r="E60" s="29"/>
      <c r="F60" s="30" t="s">
        <v>499</v>
      </c>
    </row>
    <row r="61" customFormat="false" ht="15" hidden="false" customHeight="false" outlineLevel="0" collapsed="false">
      <c r="A61" s="23" t="s">
        <v>500</v>
      </c>
      <c r="B61" s="21"/>
      <c r="C61" s="21"/>
      <c r="D61" s="31" t="n">
        <f aca="false">IF(D56&gt;B60,C60,IF(D56&gt;B59,C59,IF(D56&gt;B58,C58,0)))</f>
        <v>0.04</v>
      </c>
      <c r="E61" s="21"/>
      <c r="F61" s="25" t="s">
        <v>501</v>
      </c>
    </row>
    <row r="62" customFormat="false" ht="15" hidden="false" customHeight="false" outlineLevel="0" collapsed="false">
      <c r="A62" s="23" t="s">
        <v>502</v>
      </c>
      <c r="B62" s="21"/>
      <c r="C62" s="21"/>
      <c r="D62" s="32" t="n">
        <f aca="false">-D56*D61</f>
        <v>-50079</v>
      </c>
      <c r="E62" s="21"/>
      <c r="F62" s="25"/>
    </row>
    <row r="63" customFormat="false" ht="15" hidden="false" customHeight="false" outlineLevel="0" collapsed="false">
      <c r="A63" s="26" t="s">
        <v>503</v>
      </c>
      <c r="B63" s="28" t="n">
        <v>0.05</v>
      </c>
      <c r="C63" s="29"/>
      <c r="D63" s="29"/>
      <c r="E63" s="29"/>
      <c r="F63" s="30" t="s">
        <v>504</v>
      </c>
    </row>
    <row r="64" customFormat="false" ht="15" hidden="false" customHeight="false" outlineLevel="0" collapsed="false">
      <c r="A64" s="23" t="s">
        <v>505</v>
      </c>
      <c r="B64" s="21"/>
      <c r="C64" s="21"/>
      <c r="D64" s="24" t="n">
        <f aca="false">(D56+D62)*B63</f>
        <v>60094.8</v>
      </c>
      <c r="E64" s="21"/>
      <c r="F64" s="25" t="s">
        <v>506</v>
      </c>
    </row>
    <row r="65" customFormat="false" ht="15" hidden="false" customHeight="false" outlineLevel="0" collapsed="false">
      <c r="A65" s="23" t="s">
        <v>507</v>
      </c>
      <c r="B65" s="21"/>
      <c r="C65" s="21"/>
      <c r="D65" s="24" t="n">
        <f aca="false">D56+D62</f>
        <v>1201896</v>
      </c>
      <c r="E65" s="21"/>
      <c r="F65" s="25" t="s">
        <v>508</v>
      </c>
    </row>
    <row r="66" customFormat="false" ht="15" hidden="false" customHeight="false" outlineLevel="0" collapsed="false">
      <c r="A66" s="23" t="s">
        <v>509</v>
      </c>
      <c r="B66" s="21"/>
      <c r="C66" s="21"/>
      <c r="D66" s="24" t="n">
        <f aca="false">D56+D62-D64</f>
        <v>1141801.2</v>
      </c>
      <c r="E66" s="21"/>
      <c r="F66" s="25" t="s">
        <v>510</v>
      </c>
    </row>
    <row r="68" customFormat="false" ht="15" hidden="false" customHeight="false" outlineLevel="0" collapsed="false">
      <c r="A68" s="10" t="s">
        <v>357</v>
      </c>
    </row>
    <row r="69" customFormat="false" ht="30" hidden="false" customHeight="true" outlineLevel="0" collapsed="false">
      <c r="A69" s="11" t="s">
        <v>511</v>
      </c>
      <c r="B69" s="11"/>
      <c r="C69" s="11"/>
      <c r="D69" s="11"/>
      <c r="E69" s="11"/>
      <c r="F69" s="11"/>
    </row>
    <row r="70" customFormat="false" ht="30" hidden="false" customHeight="true" outlineLevel="0" collapsed="false">
      <c r="A70" s="11" t="s">
        <v>512</v>
      </c>
      <c r="B70" s="11"/>
      <c r="C70" s="11"/>
      <c r="D70" s="11"/>
      <c r="E70" s="11"/>
      <c r="F70" s="11"/>
    </row>
    <row r="71" customFormat="false" ht="30" hidden="false" customHeight="true" outlineLevel="0" collapsed="false">
      <c r="A71" s="11" t="s">
        <v>513</v>
      </c>
      <c r="B71" s="11"/>
      <c r="C71" s="11"/>
      <c r="D71" s="11"/>
      <c r="E71" s="11"/>
      <c r="F71" s="11"/>
    </row>
    <row r="72" customFormat="false" ht="30" hidden="false" customHeight="true" outlineLevel="0" collapsed="false">
      <c r="A72" s="11" t="s">
        <v>514</v>
      </c>
      <c r="B72" s="11"/>
      <c r="C72" s="11"/>
      <c r="D72" s="11"/>
      <c r="E72" s="11"/>
      <c r="F72" s="11"/>
    </row>
  </sheetData>
  <mergeCells count="13">
    <mergeCell ref="A1:F1"/>
    <mergeCell ref="A2:F2"/>
    <mergeCell ref="A3:F3"/>
    <mergeCell ref="A5:F5"/>
    <mergeCell ref="A11:F11"/>
    <mergeCell ref="A18:F18"/>
    <mergeCell ref="A26:F26"/>
    <mergeCell ref="A34:F34"/>
    <mergeCell ref="A41:F41"/>
    <mergeCell ref="A69:F69"/>
    <mergeCell ref="A70:F70"/>
    <mergeCell ref="A71:F71"/>
    <mergeCell ref="A72:F7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4"/>
    <col collapsed="false" customWidth="true" hidden="false" outlineLevel="0" max="5" min="4" style="0" width="16"/>
    <col collapsed="false" customWidth="true" hidden="false" outlineLevel="0" max="6" min="6" style="0" width="22"/>
    <col collapsed="false" customWidth="true" hidden="false" outlineLevel="0" max="7" min="7" style="0" width="14"/>
    <col collapsed="false" customWidth="true" hidden="false" outlineLevel="0" max="8" min="8" style="0" width="44"/>
  </cols>
  <sheetData>
    <row r="1" customFormat="false" ht="24" hidden="false" customHeight="true" outlineLevel="0" collapsed="false">
      <c r="A1" s="1" t="s">
        <v>515</v>
      </c>
      <c r="B1" s="1"/>
      <c r="C1" s="1"/>
      <c r="D1" s="1"/>
      <c r="E1" s="1"/>
      <c r="F1" s="1"/>
      <c r="G1" s="1"/>
      <c r="H1" s="1"/>
    </row>
    <row r="2" customFormat="false" ht="15" hidden="false" customHeight="false" outlineLevel="0" collapsed="false">
      <c r="A2" s="2" t="s">
        <v>516</v>
      </c>
      <c r="B2" s="2"/>
      <c r="C2" s="2"/>
      <c r="D2" s="2"/>
      <c r="E2" s="2"/>
      <c r="F2" s="2"/>
      <c r="G2" s="2"/>
      <c r="H2" s="2"/>
    </row>
    <row r="3" customFormat="false" ht="15" hidden="false" customHeight="false" outlineLevel="0" collapsed="false">
      <c r="A3" s="3" t="s">
        <v>2</v>
      </c>
      <c r="B3" s="3"/>
      <c r="C3" s="3"/>
      <c r="D3" s="3"/>
      <c r="E3" s="3"/>
      <c r="F3" s="3"/>
      <c r="G3" s="3"/>
      <c r="H3" s="3"/>
    </row>
    <row r="5" customFormat="false" ht="30" hidden="false" customHeight="true" outlineLevel="0" collapsed="false">
      <c r="A5" s="4" t="s">
        <v>517</v>
      </c>
      <c r="B5" s="4" t="s">
        <v>518</v>
      </c>
      <c r="C5" s="4" t="s">
        <v>519</v>
      </c>
      <c r="D5" s="4" t="s">
        <v>520</v>
      </c>
      <c r="E5" s="4" t="s">
        <v>521</v>
      </c>
      <c r="F5" s="4" t="s">
        <v>522</v>
      </c>
      <c r="G5" s="4" t="s">
        <v>523</v>
      </c>
      <c r="H5" s="4" t="s">
        <v>524</v>
      </c>
    </row>
    <row r="6" customFormat="false" ht="35.05" hidden="false" customHeight="false" outlineLevel="0" collapsed="false">
      <c r="A6" s="5" t="s">
        <v>525</v>
      </c>
      <c r="B6" s="5" t="n">
        <v>1</v>
      </c>
      <c r="C6" s="5" t="s">
        <v>526</v>
      </c>
      <c r="D6" s="7" t="s">
        <v>527</v>
      </c>
      <c r="E6" s="7" t="s">
        <v>527</v>
      </c>
      <c r="F6" s="5" t="s">
        <v>528</v>
      </c>
      <c r="G6" s="5" t="s">
        <v>79</v>
      </c>
      <c r="H6" s="5" t="s">
        <v>529</v>
      </c>
    </row>
    <row r="7" customFormat="false" ht="35.05" hidden="false" customHeight="false" outlineLevel="0" collapsed="false">
      <c r="A7" s="6" t="s">
        <v>530</v>
      </c>
      <c r="B7" s="6" t="n">
        <v>1</v>
      </c>
      <c r="C7" s="6" t="s">
        <v>531</v>
      </c>
      <c r="D7" s="7" t="s">
        <v>527</v>
      </c>
      <c r="E7" s="7" t="s">
        <v>527</v>
      </c>
      <c r="F7" s="6" t="s">
        <v>528</v>
      </c>
      <c r="G7" s="6" t="s">
        <v>79</v>
      </c>
      <c r="H7" s="6" t="s">
        <v>529</v>
      </c>
    </row>
    <row r="8" customFormat="false" ht="35.05" hidden="false" customHeight="false" outlineLevel="0" collapsed="false">
      <c r="A8" s="5" t="s">
        <v>532</v>
      </c>
      <c r="B8" s="5" t="n">
        <v>1</v>
      </c>
      <c r="C8" s="5" t="s">
        <v>533</v>
      </c>
      <c r="D8" s="7" t="s">
        <v>527</v>
      </c>
      <c r="E8" s="7" t="s">
        <v>527</v>
      </c>
      <c r="F8" s="5" t="s">
        <v>528</v>
      </c>
      <c r="G8" s="5" t="s">
        <v>79</v>
      </c>
      <c r="H8" s="5" t="s">
        <v>529</v>
      </c>
    </row>
    <row r="9" customFormat="false" ht="35.05" hidden="false" customHeight="false" outlineLevel="0" collapsed="false">
      <c r="A9" s="6" t="s">
        <v>534</v>
      </c>
      <c r="B9" s="6" t="n">
        <v>1</v>
      </c>
      <c r="C9" s="6" t="s">
        <v>535</v>
      </c>
      <c r="D9" s="7" t="s">
        <v>527</v>
      </c>
      <c r="E9" s="7" t="s">
        <v>527</v>
      </c>
      <c r="F9" s="6" t="s">
        <v>528</v>
      </c>
      <c r="G9" s="6" t="s">
        <v>79</v>
      </c>
      <c r="H9" s="6" t="s">
        <v>529</v>
      </c>
    </row>
    <row r="10" customFormat="false" ht="35.05" hidden="false" customHeight="false" outlineLevel="0" collapsed="false">
      <c r="A10" s="5" t="s">
        <v>536</v>
      </c>
      <c r="B10" s="5" t="n">
        <v>1</v>
      </c>
      <c r="C10" s="5" t="s">
        <v>537</v>
      </c>
      <c r="D10" s="7" t="s">
        <v>527</v>
      </c>
      <c r="E10" s="7" t="s">
        <v>527</v>
      </c>
      <c r="F10" s="5" t="s">
        <v>528</v>
      </c>
      <c r="G10" s="5" t="s">
        <v>79</v>
      </c>
      <c r="H10" s="5" t="s">
        <v>529</v>
      </c>
    </row>
    <row r="11" customFormat="false" ht="35.05" hidden="false" customHeight="false" outlineLevel="0" collapsed="false">
      <c r="A11" s="6" t="s">
        <v>538</v>
      </c>
      <c r="B11" s="6" t="n">
        <v>2</v>
      </c>
      <c r="C11" s="6" t="s">
        <v>539</v>
      </c>
      <c r="D11" s="7" t="s">
        <v>527</v>
      </c>
      <c r="E11" s="7" t="s">
        <v>527</v>
      </c>
      <c r="F11" s="6" t="s">
        <v>452</v>
      </c>
      <c r="G11" s="6" t="s">
        <v>79</v>
      </c>
      <c r="H11" s="6" t="s">
        <v>529</v>
      </c>
    </row>
    <row r="12" customFormat="false" ht="35.05" hidden="false" customHeight="false" outlineLevel="0" collapsed="false">
      <c r="A12" s="5" t="s">
        <v>540</v>
      </c>
      <c r="B12" s="5" t="n">
        <v>2</v>
      </c>
      <c r="C12" s="5" t="s">
        <v>541</v>
      </c>
      <c r="D12" s="7" t="s">
        <v>527</v>
      </c>
      <c r="E12" s="7" t="s">
        <v>527</v>
      </c>
      <c r="F12" s="5" t="s">
        <v>452</v>
      </c>
      <c r="G12" s="5" t="s">
        <v>79</v>
      </c>
      <c r="H12" s="5" t="s">
        <v>529</v>
      </c>
    </row>
    <row r="13" customFormat="false" ht="35.05" hidden="false" customHeight="false" outlineLevel="0" collapsed="false">
      <c r="A13" s="6" t="s">
        <v>542</v>
      </c>
      <c r="B13" s="6" t="n">
        <v>2</v>
      </c>
      <c r="C13" s="6" t="s">
        <v>543</v>
      </c>
      <c r="D13" s="7" t="s">
        <v>527</v>
      </c>
      <c r="E13" s="7" t="s">
        <v>527</v>
      </c>
      <c r="F13" s="6" t="s">
        <v>452</v>
      </c>
      <c r="G13" s="6" t="s">
        <v>79</v>
      </c>
      <c r="H13" s="6" t="s">
        <v>529</v>
      </c>
    </row>
    <row r="14" customFormat="false" ht="35.05" hidden="false" customHeight="false" outlineLevel="0" collapsed="false">
      <c r="A14" s="5" t="s">
        <v>544</v>
      </c>
      <c r="B14" s="5" t="n">
        <v>2</v>
      </c>
      <c r="C14" s="5" t="s">
        <v>545</v>
      </c>
      <c r="D14" s="7" t="s">
        <v>527</v>
      </c>
      <c r="E14" s="7" t="s">
        <v>527</v>
      </c>
      <c r="F14" s="5" t="s">
        <v>452</v>
      </c>
      <c r="G14" s="5" t="s">
        <v>79</v>
      </c>
      <c r="H14" s="5" t="s">
        <v>529</v>
      </c>
    </row>
    <row r="15" customFormat="false" ht="35.05" hidden="false" customHeight="false" outlineLevel="0" collapsed="false">
      <c r="A15" s="6" t="s">
        <v>546</v>
      </c>
      <c r="B15" s="6" t="n">
        <v>2</v>
      </c>
      <c r="C15" s="6" t="s">
        <v>547</v>
      </c>
      <c r="D15" s="7" t="s">
        <v>527</v>
      </c>
      <c r="E15" s="7" t="s">
        <v>527</v>
      </c>
      <c r="F15" s="6" t="s">
        <v>452</v>
      </c>
      <c r="G15" s="6" t="s">
        <v>79</v>
      </c>
      <c r="H15" s="6" t="s">
        <v>529</v>
      </c>
    </row>
    <row r="16" customFormat="false" ht="35.05" hidden="false" customHeight="false" outlineLevel="0" collapsed="false">
      <c r="A16" s="5" t="s">
        <v>548</v>
      </c>
      <c r="B16" s="5" t="n">
        <v>2</v>
      </c>
      <c r="C16" s="5" t="s">
        <v>549</v>
      </c>
      <c r="D16" s="7" t="s">
        <v>527</v>
      </c>
      <c r="E16" s="7" t="s">
        <v>527</v>
      </c>
      <c r="F16" s="5" t="s">
        <v>452</v>
      </c>
      <c r="G16" s="5" t="s">
        <v>79</v>
      </c>
      <c r="H16" s="5" t="s">
        <v>529</v>
      </c>
    </row>
    <row r="17" customFormat="false" ht="35.05" hidden="false" customHeight="false" outlineLevel="0" collapsed="false">
      <c r="A17" s="6" t="s">
        <v>550</v>
      </c>
      <c r="B17" s="6" t="n">
        <v>3</v>
      </c>
      <c r="C17" s="6" t="s">
        <v>551</v>
      </c>
      <c r="D17" s="7" t="s">
        <v>527</v>
      </c>
      <c r="E17" s="7" t="s">
        <v>527</v>
      </c>
      <c r="F17" s="6" t="s">
        <v>552</v>
      </c>
      <c r="G17" s="6" t="s">
        <v>79</v>
      </c>
      <c r="H17" s="6" t="s">
        <v>529</v>
      </c>
    </row>
    <row r="19" customFormat="false" ht="15" hidden="false" customHeight="false" outlineLevel="0" collapsed="false">
      <c r="A19" s="10" t="s">
        <v>553</v>
      </c>
    </row>
    <row r="20" customFormat="false" ht="27.75" hidden="false" customHeight="true" outlineLevel="0" collapsed="false">
      <c r="A20" s="11" t="s">
        <v>554</v>
      </c>
      <c r="B20" s="11"/>
      <c r="C20" s="11"/>
      <c r="D20" s="11"/>
      <c r="E20" s="11"/>
      <c r="F20" s="11"/>
      <c r="G20" s="11"/>
      <c r="H20" s="11"/>
    </row>
    <row r="21" customFormat="false" ht="27.75" hidden="false" customHeight="true" outlineLevel="0" collapsed="false">
      <c r="A21" s="11" t="s">
        <v>555</v>
      </c>
      <c r="B21" s="11"/>
      <c r="C21" s="11"/>
      <c r="D21" s="11"/>
      <c r="E21" s="11"/>
      <c r="F21" s="11"/>
      <c r="G21" s="11"/>
      <c r="H21" s="11"/>
    </row>
    <row r="22" customFormat="false" ht="27.75" hidden="false" customHeight="true" outlineLevel="0" collapsed="false">
      <c r="A22" s="11" t="s">
        <v>556</v>
      </c>
      <c r="B22" s="11"/>
      <c r="C22" s="11"/>
      <c r="D22" s="11"/>
      <c r="E22" s="11"/>
      <c r="F22" s="11"/>
      <c r="G22" s="11"/>
      <c r="H22" s="11"/>
    </row>
    <row r="23" customFormat="false" ht="27.75" hidden="false" customHeight="true" outlineLevel="0" collapsed="false">
      <c r="A23" s="11" t="s">
        <v>557</v>
      </c>
      <c r="B23" s="11"/>
      <c r="C23" s="11"/>
      <c r="D23" s="11"/>
      <c r="E23" s="11"/>
      <c r="F23" s="11"/>
      <c r="G23" s="11"/>
      <c r="H23" s="11"/>
    </row>
    <row r="24" customFormat="false" ht="27.75" hidden="false" customHeight="true" outlineLevel="0" collapsed="false">
      <c r="A24" s="11" t="s">
        <v>558</v>
      </c>
      <c r="B24" s="11"/>
      <c r="C24" s="11"/>
      <c r="D24" s="11"/>
      <c r="E24" s="11"/>
      <c r="F24" s="11"/>
      <c r="G24" s="11"/>
      <c r="H24" s="11"/>
    </row>
    <row r="25" customFormat="false" ht="27.75" hidden="false" customHeight="true" outlineLevel="0" collapsed="false">
      <c r="A25" s="11" t="s">
        <v>559</v>
      </c>
      <c r="B25" s="11"/>
      <c r="C25" s="11"/>
      <c r="D25" s="11"/>
      <c r="E25" s="11"/>
      <c r="F25" s="11"/>
      <c r="G25" s="11"/>
      <c r="H25" s="11"/>
    </row>
    <row r="26" customFormat="false" ht="27.75" hidden="false" customHeight="true" outlineLevel="0" collapsed="false">
      <c r="A26" s="11" t="s">
        <v>560</v>
      </c>
      <c r="B26" s="11"/>
      <c r="C26" s="11"/>
      <c r="D26" s="11"/>
      <c r="E26" s="11"/>
      <c r="F26" s="11"/>
      <c r="G26" s="11"/>
      <c r="H26" s="11"/>
    </row>
  </sheetData>
  <mergeCells count="10">
    <mergeCell ref="A1:H1"/>
    <mergeCell ref="A2:H2"/>
    <mergeCell ref="A3:H3"/>
    <mergeCell ref="A20:H20"/>
    <mergeCell ref="A21:H21"/>
    <mergeCell ref="A22:H22"/>
    <mergeCell ref="A23:H23"/>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1"/>
    <col collapsed="false" customWidth="true" hidden="false" outlineLevel="0" max="4" min="4" style="0" width="90"/>
    <col collapsed="false" customWidth="true" hidden="false" outlineLevel="0" max="5" min="5" style="0" width="24"/>
  </cols>
  <sheetData>
    <row r="1" customFormat="false" ht="24" hidden="false" customHeight="true" outlineLevel="0" collapsed="false">
      <c r="A1" s="1" t="s">
        <v>561</v>
      </c>
      <c r="B1" s="1"/>
      <c r="C1" s="1"/>
      <c r="D1" s="1"/>
      <c r="E1" s="1"/>
    </row>
    <row r="2" customFormat="false" ht="15" hidden="false" customHeight="false" outlineLevel="0" collapsed="false">
      <c r="A2" s="2" t="s">
        <v>562</v>
      </c>
      <c r="B2" s="2"/>
      <c r="C2" s="2"/>
      <c r="D2" s="2"/>
      <c r="E2" s="2"/>
    </row>
    <row r="3" customFormat="false" ht="15" hidden="false" customHeight="false" outlineLevel="0" collapsed="false">
      <c r="A3" s="3" t="s">
        <v>2</v>
      </c>
      <c r="B3" s="3"/>
      <c r="C3" s="3"/>
      <c r="D3" s="3"/>
      <c r="E3" s="3"/>
    </row>
    <row r="5" customFormat="false" ht="30" hidden="false" customHeight="true" outlineLevel="0" collapsed="false">
      <c r="A5" s="4" t="s">
        <v>67</v>
      </c>
      <c r="B5" s="4" t="s">
        <v>563</v>
      </c>
      <c r="C5" s="4" t="s">
        <v>72</v>
      </c>
      <c r="D5" s="4" t="s">
        <v>564</v>
      </c>
      <c r="E5" s="4" t="s">
        <v>565</v>
      </c>
    </row>
    <row r="6" customFormat="false" ht="15" hidden="false" customHeight="false" outlineLevel="0" collapsed="false">
      <c r="A6" s="5" t="s">
        <v>566</v>
      </c>
      <c r="B6" s="5" t="s">
        <v>567</v>
      </c>
      <c r="C6" s="5" t="s">
        <v>79</v>
      </c>
      <c r="D6" s="5" t="s">
        <v>568</v>
      </c>
      <c r="E6" s="5" t="s">
        <v>569</v>
      </c>
    </row>
    <row r="7" customFormat="false" ht="23.85" hidden="false" customHeight="false" outlineLevel="0" collapsed="false">
      <c r="A7" s="6" t="s">
        <v>570</v>
      </c>
      <c r="B7" s="6" t="s">
        <v>571</v>
      </c>
      <c r="C7" s="6" t="s">
        <v>79</v>
      </c>
      <c r="D7" s="6" t="s">
        <v>572</v>
      </c>
      <c r="E7" s="6" t="s">
        <v>569</v>
      </c>
    </row>
    <row r="8" customFormat="false" ht="15" hidden="false" customHeight="false" outlineLevel="0" collapsed="false">
      <c r="A8" s="5" t="s">
        <v>570</v>
      </c>
      <c r="B8" s="5" t="s">
        <v>573</v>
      </c>
      <c r="C8" s="5" t="s">
        <v>79</v>
      </c>
      <c r="D8" s="5" t="s">
        <v>574</v>
      </c>
      <c r="E8" s="5" t="s">
        <v>35</v>
      </c>
    </row>
    <row r="9" customFormat="false" ht="23.85" hidden="false" customHeight="false" outlineLevel="0" collapsed="false">
      <c r="A9" s="6" t="s">
        <v>570</v>
      </c>
      <c r="B9" s="6" t="s">
        <v>575</v>
      </c>
      <c r="C9" s="6" t="s">
        <v>79</v>
      </c>
      <c r="D9" s="6" t="s">
        <v>576</v>
      </c>
      <c r="E9" s="6" t="s">
        <v>569</v>
      </c>
    </row>
    <row r="10" customFormat="false" ht="35.05" hidden="false" customHeight="false" outlineLevel="0" collapsed="false">
      <c r="A10" s="5" t="s">
        <v>577</v>
      </c>
      <c r="B10" s="5" t="s">
        <v>578</v>
      </c>
      <c r="C10" s="5" t="s">
        <v>79</v>
      </c>
      <c r="D10" s="5" t="s">
        <v>579</v>
      </c>
      <c r="E10" s="5" t="s">
        <v>569</v>
      </c>
    </row>
    <row r="11" customFormat="false" ht="23.85" hidden="false" customHeight="false" outlineLevel="0" collapsed="false">
      <c r="A11" s="6" t="s">
        <v>580</v>
      </c>
      <c r="B11" s="6" t="s">
        <v>581</v>
      </c>
      <c r="C11" s="6" t="s">
        <v>79</v>
      </c>
      <c r="D11" s="6" t="s">
        <v>582</v>
      </c>
      <c r="E11" s="6" t="s">
        <v>583</v>
      </c>
    </row>
    <row r="12" customFormat="false" ht="23.85" hidden="false" customHeight="false" outlineLevel="0" collapsed="false">
      <c r="A12" s="5" t="s">
        <v>584</v>
      </c>
      <c r="B12" s="5" t="s">
        <v>585</v>
      </c>
      <c r="C12" s="5" t="s">
        <v>79</v>
      </c>
      <c r="D12" s="5" t="s">
        <v>586</v>
      </c>
      <c r="E12" s="5" t="s">
        <v>587</v>
      </c>
    </row>
    <row r="13" customFormat="false" ht="23.85" hidden="false" customHeight="false" outlineLevel="0" collapsed="false">
      <c r="A13" s="6" t="s">
        <v>584</v>
      </c>
      <c r="B13" s="6" t="s">
        <v>588</v>
      </c>
      <c r="C13" s="6" t="s">
        <v>79</v>
      </c>
      <c r="D13" s="6" t="s">
        <v>589</v>
      </c>
      <c r="E13" s="6" t="s">
        <v>569</v>
      </c>
    </row>
    <row r="14" customFormat="false" ht="79.85" hidden="false" customHeight="false" outlineLevel="0" collapsed="false">
      <c r="A14" s="5" t="s">
        <v>590</v>
      </c>
      <c r="B14" s="5" t="s">
        <v>591</v>
      </c>
      <c r="C14" s="5" t="s">
        <v>79</v>
      </c>
      <c r="D14" s="5" t="s">
        <v>592</v>
      </c>
      <c r="E14" s="5" t="s">
        <v>569</v>
      </c>
    </row>
    <row r="15" customFormat="false" ht="23.85" hidden="false" customHeight="false" outlineLevel="0" collapsed="false">
      <c r="A15" s="6" t="s">
        <v>593</v>
      </c>
      <c r="B15" s="6" t="s">
        <v>594</v>
      </c>
      <c r="C15" s="6" t="s">
        <v>79</v>
      </c>
      <c r="D15" s="6" t="s">
        <v>595</v>
      </c>
      <c r="E15" s="6" t="s">
        <v>587</v>
      </c>
    </row>
    <row r="16" customFormat="false" ht="23.85" hidden="false" customHeight="false" outlineLevel="0" collapsed="false">
      <c r="A16" s="5" t="s">
        <v>596</v>
      </c>
      <c r="B16" s="5" t="s">
        <v>597</v>
      </c>
      <c r="C16" s="5" t="s">
        <v>79</v>
      </c>
      <c r="D16" s="5" t="s">
        <v>598</v>
      </c>
      <c r="E16" s="5" t="s">
        <v>569</v>
      </c>
    </row>
    <row r="17" customFormat="false" ht="23.85" hidden="false" customHeight="false" outlineLevel="0" collapsed="false">
      <c r="A17" s="6" t="s">
        <v>599</v>
      </c>
      <c r="B17" s="6" t="s">
        <v>600</v>
      </c>
      <c r="C17" s="6" t="s">
        <v>79</v>
      </c>
      <c r="D17" s="6" t="s">
        <v>601</v>
      </c>
      <c r="E17" s="6" t="s">
        <v>35</v>
      </c>
    </row>
    <row r="18" customFormat="false" ht="23.85" hidden="false" customHeight="false" outlineLevel="0" collapsed="false">
      <c r="A18" s="5" t="s">
        <v>602</v>
      </c>
      <c r="B18" s="5" t="s">
        <v>603</v>
      </c>
      <c r="C18" s="5" t="s">
        <v>79</v>
      </c>
      <c r="D18" s="5" t="s">
        <v>604</v>
      </c>
      <c r="E18" s="5" t="s">
        <v>35</v>
      </c>
    </row>
    <row r="19" customFormat="false" ht="46.25" hidden="false" customHeight="false" outlineLevel="0" collapsed="false">
      <c r="A19" s="6" t="s">
        <v>605</v>
      </c>
      <c r="B19" s="6" t="s">
        <v>606</v>
      </c>
      <c r="C19" s="6" t="s">
        <v>79</v>
      </c>
      <c r="D19" s="6" t="s">
        <v>607</v>
      </c>
      <c r="E19" s="6" t="s">
        <v>569</v>
      </c>
    </row>
    <row r="20" customFormat="false" ht="23.85" hidden="false" customHeight="false" outlineLevel="0" collapsed="false">
      <c r="A20" s="5" t="s">
        <v>605</v>
      </c>
      <c r="B20" s="5" t="s">
        <v>608</v>
      </c>
      <c r="C20" s="5" t="s">
        <v>79</v>
      </c>
      <c r="D20" s="5" t="s">
        <v>609</v>
      </c>
      <c r="E20" s="5" t="s">
        <v>35</v>
      </c>
    </row>
    <row r="21" customFormat="false" ht="23.85" hidden="false" customHeight="false" outlineLevel="0" collapsed="false">
      <c r="A21" s="6" t="s">
        <v>610</v>
      </c>
      <c r="B21" s="6" t="s">
        <v>611</v>
      </c>
      <c r="C21" s="6" t="s">
        <v>79</v>
      </c>
      <c r="D21" s="6" t="s">
        <v>612</v>
      </c>
      <c r="E21" s="6" t="s">
        <v>35</v>
      </c>
    </row>
    <row r="22" customFormat="false" ht="23.85" hidden="false" customHeight="false" outlineLevel="0" collapsed="false">
      <c r="A22" s="5" t="s">
        <v>613</v>
      </c>
      <c r="B22" s="5" t="s">
        <v>614</v>
      </c>
      <c r="C22" s="5" t="s">
        <v>79</v>
      </c>
      <c r="D22" s="5" t="s">
        <v>615</v>
      </c>
      <c r="E22" s="5" t="s">
        <v>35</v>
      </c>
    </row>
    <row r="23" customFormat="false" ht="15" hidden="false" customHeight="false" outlineLevel="0" collapsed="false">
      <c r="A23" s="6" t="s">
        <v>616</v>
      </c>
      <c r="B23" s="6" t="s">
        <v>617</v>
      </c>
      <c r="C23" s="6" t="s">
        <v>79</v>
      </c>
      <c r="D23" s="6" t="s">
        <v>618</v>
      </c>
      <c r="E23" s="6" t="s">
        <v>35</v>
      </c>
    </row>
  </sheetData>
  <mergeCells count="3">
    <mergeCell ref="A1:E1"/>
    <mergeCell ref="A2:E2"/>
    <mergeCell ref="A3:E3"/>
  </mergeCells>
  <dataValidations count="1">
    <dataValidation allowBlank="false" errorStyle="stop" operator="between" showDropDown="false" showErrorMessage="false" showInputMessage="false" sqref="C6:C2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1"/>
    <col collapsed="false" customWidth="true" hidden="false" outlineLevel="0" max="4" min="4" style="0" width="80"/>
    <col collapsed="false" customWidth="true" hidden="false" outlineLevel="0" max="5" min="5" style="0" width="34"/>
  </cols>
  <sheetData>
    <row r="1" customFormat="false" ht="24" hidden="false" customHeight="true" outlineLevel="0" collapsed="false">
      <c r="A1" s="1" t="s">
        <v>619</v>
      </c>
      <c r="B1" s="1"/>
      <c r="C1" s="1"/>
      <c r="D1" s="1"/>
      <c r="E1" s="1"/>
    </row>
    <row r="2" customFormat="false" ht="15" hidden="false" customHeight="false" outlineLevel="0" collapsed="false">
      <c r="A2" s="2" t="s">
        <v>620</v>
      </c>
      <c r="B2" s="2"/>
      <c r="C2" s="2"/>
      <c r="D2" s="2"/>
      <c r="E2" s="2"/>
    </row>
    <row r="3" customFormat="false" ht="15" hidden="false" customHeight="false" outlineLevel="0" collapsed="false">
      <c r="A3" s="3" t="s">
        <v>2</v>
      </c>
      <c r="B3" s="3"/>
      <c r="C3" s="3"/>
      <c r="D3" s="3"/>
      <c r="E3" s="3"/>
    </row>
    <row r="5" customFormat="false" ht="30" hidden="false" customHeight="true" outlineLevel="0" collapsed="false">
      <c r="A5" s="4" t="s">
        <v>67</v>
      </c>
      <c r="B5" s="4" t="s">
        <v>621</v>
      </c>
      <c r="C5" s="4" t="s">
        <v>622</v>
      </c>
      <c r="D5" s="4" t="s">
        <v>623</v>
      </c>
      <c r="E5" s="4" t="s">
        <v>624</v>
      </c>
    </row>
    <row r="6" customFormat="false" ht="23.85" hidden="false" customHeight="false" outlineLevel="0" collapsed="false">
      <c r="A6" s="5" t="s">
        <v>625</v>
      </c>
      <c r="B6" s="5" t="s">
        <v>626</v>
      </c>
      <c r="C6" s="5" t="s">
        <v>79</v>
      </c>
      <c r="D6" s="5" t="s">
        <v>627</v>
      </c>
      <c r="E6" s="5" t="s">
        <v>628</v>
      </c>
    </row>
    <row r="7" customFormat="false" ht="23.85" hidden="false" customHeight="false" outlineLevel="0" collapsed="false">
      <c r="A7" s="6" t="s">
        <v>629</v>
      </c>
      <c r="B7" s="6" t="s">
        <v>630</v>
      </c>
      <c r="C7" s="6" t="s">
        <v>79</v>
      </c>
      <c r="D7" s="6" t="s">
        <v>631</v>
      </c>
      <c r="E7" s="6" t="s">
        <v>632</v>
      </c>
    </row>
    <row r="8" customFormat="false" ht="15" hidden="false" customHeight="false" outlineLevel="0" collapsed="false">
      <c r="A8" s="5" t="s">
        <v>633</v>
      </c>
      <c r="B8" s="5" t="s">
        <v>634</v>
      </c>
      <c r="C8" s="5" t="s">
        <v>79</v>
      </c>
      <c r="D8" s="5" t="s">
        <v>635</v>
      </c>
      <c r="E8" s="5" t="s">
        <v>636</v>
      </c>
    </row>
    <row r="9" customFormat="false" ht="15" hidden="false" customHeight="false" outlineLevel="0" collapsed="false">
      <c r="A9" s="6" t="s">
        <v>637</v>
      </c>
      <c r="B9" s="6" t="s">
        <v>638</v>
      </c>
      <c r="C9" s="6" t="s">
        <v>79</v>
      </c>
      <c r="D9" s="6" t="s">
        <v>639</v>
      </c>
      <c r="E9" s="6" t="s">
        <v>640</v>
      </c>
    </row>
    <row r="10" customFormat="false" ht="15" hidden="false" customHeight="false" outlineLevel="0" collapsed="false">
      <c r="A10" s="5" t="s">
        <v>641</v>
      </c>
      <c r="B10" s="5" t="s">
        <v>642</v>
      </c>
      <c r="C10" s="5" t="s">
        <v>79</v>
      </c>
      <c r="D10" s="5" t="s">
        <v>643</v>
      </c>
      <c r="E10" s="5" t="s">
        <v>644</v>
      </c>
    </row>
    <row r="11" customFormat="false" ht="15" hidden="false" customHeight="false" outlineLevel="0" collapsed="false">
      <c r="A11" s="6" t="s">
        <v>645</v>
      </c>
      <c r="B11" s="6" t="s">
        <v>646</v>
      </c>
      <c r="C11" s="6" t="s">
        <v>79</v>
      </c>
      <c r="D11" s="6" t="s">
        <v>647</v>
      </c>
      <c r="E11" s="6" t="s">
        <v>648</v>
      </c>
    </row>
    <row r="12" customFormat="false" ht="15" hidden="false" customHeight="false" outlineLevel="0" collapsed="false">
      <c r="A12" s="5" t="s">
        <v>649</v>
      </c>
      <c r="B12" s="5" t="s">
        <v>650</v>
      </c>
      <c r="C12" s="5" t="s">
        <v>79</v>
      </c>
      <c r="D12" s="5" t="s">
        <v>651</v>
      </c>
      <c r="E12" s="5" t="s">
        <v>652</v>
      </c>
    </row>
    <row r="13" customFormat="false" ht="15" hidden="false" customHeight="false" outlineLevel="0" collapsed="false">
      <c r="A13" s="6" t="s">
        <v>653</v>
      </c>
      <c r="B13" s="6" t="s">
        <v>654</v>
      </c>
      <c r="C13" s="6" t="s">
        <v>79</v>
      </c>
      <c r="D13" s="6" t="s">
        <v>655</v>
      </c>
      <c r="E13" s="6" t="s">
        <v>656</v>
      </c>
    </row>
    <row r="14" customFormat="false" ht="23.85" hidden="false" customHeight="false" outlineLevel="0" collapsed="false">
      <c r="A14" s="5" t="s">
        <v>657</v>
      </c>
      <c r="B14" s="5" t="s">
        <v>658</v>
      </c>
      <c r="C14" s="5" t="s">
        <v>79</v>
      </c>
      <c r="D14" s="5" t="s">
        <v>659</v>
      </c>
      <c r="E14" s="5" t="s">
        <v>660</v>
      </c>
    </row>
    <row r="15" customFormat="false" ht="15" hidden="false" customHeight="false" outlineLevel="0" collapsed="false">
      <c r="A15" s="6" t="s">
        <v>661</v>
      </c>
      <c r="B15" s="6" t="s">
        <v>662</v>
      </c>
      <c r="C15" s="6" t="s">
        <v>79</v>
      </c>
      <c r="D15" s="6" t="s">
        <v>663</v>
      </c>
      <c r="E15" s="6" t="s">
        <v>664</v>
      </c>
    </row>
    <row r="16" customFormat="false" ht="15" hidden="false" customHeight="false" outlineLevel="0" collapsed="false">
      <c r="A16" s="5" t="s">
        <v>665</v>
      </c>
      <c r="B16" s="5" t="s">
        <v>666</v>
      </c>
      <c r="C16" s="5" t="s">
        <v>79</v>
      </c>
      <c r="D16" s="5" t="s">
        <v>667</v>
      </c>
      <c r="E16" s="5" t="s">
        <v>668</v>
      </c>
    </row>
    <row r="17" customFormat="false" ht="15" hidden="false" customHeight="false" outlineLevel="0" collapsed="false">
      <c r="A17" s="6" t="s">
        <v>669</v>
      </c>
      <c r="B17" s="6" t="s">
        <v>670</v>
      </c>
      <c r="C17" s="6" t="s">
        <v>79</v>
      </c>
      <c r="D17" s="6" t="s">
        <v>671</v>
      </c>
      <c r="E17" s="6" t="s">
        <v>672</v>
      </c>
    </row>
    <row r="18" customFormat="false" ht="15" hidden="false" customHeight="false" outlineLevel="0" collapsed="false">
      <c r="A18" s="5" t="s">
        <v>673</v>
      </c>
      <c r="B18" s="5" t="s">
        <v>674</v>
      </c>
      <c r="C18" s="5" t="s">
        <v>79</v>
      </c>
      <c r="D18" s="5" t="s">
        <v>675</v>
      </c>
      <c r="E18" s="5" t="s">
        <v>676</v>
      </c>
    </row>
    <row r="19" customFormat="false" ht="23.85" hidden="false" customHeight="false" outlineLevel="0" collapsed="false">
      <c r="A19" s="6" t="s">
        <v>677</v>
      </c>
      <c r="B19" s="6" t="s">
        <v>678</v>
      </c>
      <c r="C19" s="6" t="s">
        <v>79</v>
      </c>
      <c r="D19" s="6" t="s">
        <v>679</v>
      </c>
      <c r="E19" s="6" t="s">
        <v>680</v>
      </c>
    </row>
    <row r="20" customFormat="false" ht="15" hidden="false" customHeight="false" outlineLevel="0" collapsed="false">
      <c r="A20" s="5" t="s">
        <v>681</v>
      </c>
      <c r="B20" s="5" t="s">
        <v>682</v>
      </c>
      <c r="C20" s="5" t="s">
        <v>79</v>
      </c>
      <c r="D20" s="5" t="s">
        <v>683</v>
      </c>
      <c r="E20" s="5" t="s">
        <v>684</v>
      </c>
    </row>
    <row r="21" customFormat="false" ht="15" hidden="false" customHeight="false" outlineLevel="0" collapsed="false">
      <c r="A21" s="6" t="s">
        <v>685</v>
      </c>
      <c r="B21" s="6" t="s">
        <v>686</v>
      </c>
      <c r="C21" s="6" t="s">
        <v>79</v>
      </c>
      <c r="D21" s="6" t="s">
        <v>687</v>
      </c>
      <c r="E21" s="6" t="s">
        <v>688</v>
      </c>
    </row>
    <row r="22" customFormat="false" ht="15" hidden="false" customHeight="false" outlineLevel="0" collapsed="false">
      <c r="A22" s="5" t="s">
        <v>689</v>
      </c>
      <c r="B22" s="5" t="s">
        <v>690</v>
      </c>
      <c r="C22" s="5" t="s">
        <v>79</v>
      </c>
      <c r="D22" s="5" t="s">
        <v>691</v>
      </c>
      <c r="E22" s="5" t="s">
        <v>692</v>
      </c>
    </row>
    <row r="23" customFormat="false" ht="15" hidden="false" customHeight="false" outlineLevel="0" collapsed="false">
      <c r="A23" s="6" t="s">
        <v>693</v>
      </c>
      <c r="B23" s="6" t="s">
        <v>694</v>
      </c>
      <c r="C23" s="6" t="s">
        <v>79</v>
      </c>
      <c r="D23" s="6" t="s">
        <v>695</v>
      </c>
      <c r="E23" s="6" t="s">
        <v>696</v>
      </c>
    </row>
    <row r="24" customFormat="false" ht="15" hidden="false" customHeight="false" outlineLevel="0" collapsed="false">
      <c r="A24" s="5" t="s">
        <v>697</v>
      </c>
      <c r="B24" s="5" t="s">
        <v>698</v>
      </c>
      <c r="C24" s="5" t="s">
        <v>79</v>
      </c>
      <c r="D24" s="5" t="s">
        <v>699</v>
      </c>
      <c r="E24" s="5" t="s">
        <v>700</v>
      </c>
    </row>
    <row r="25" customFormat="false" ht="23.85" hidden="false" customHeight="false" outlineLevel="0" collapsed="false">
      <c r="A25" s="6" t="s">
        <v>701</v>
      </c>
      <c r="B25" s="6" t="s">
        <v>702</v>
      </c>
      <c r="C25" s="6" t="s">
        <v>79</v>
      </c>
      <c r="D25" s="6" t="s">
        <v>703</v>
      </c>
      <c r="E25" s="6" t="s">
        <v>704</v>
      </c>
    </row>
    <row r="26" customFormat="false" ht="23.85" hidden="false" customHeight="false" outlineLevel="0" collapsed="false">
      <c r="A26" s="5" t="s">
        <v>705</v>
      </c>
      <c r="B26" s="5" t="s">
        <v>706</v>
      </c>
      <c r="C26" s="5" t="s">
        <v>79</v>
      </c>
      <c r="D26" s="5" t="s">
        <v>707</v>
      </c>
      <c r="E26" s="5" t="s">
        <v>708</v>
      </c>
    </row>
    <row r="27" customFormat="false" ht="15" hidden="false" customHeight="false" outlineLevel="0" collapsed="false">
      <c r="A27" s="6" t="s">
        <v>709</v>
      </c>
      <c r="B27" s="6" t="s">
        <v>710</v>
      </c>
      <c r="C27" s="6" t="s">
        <v>79</v>
      </c>
      <c r="D27" s="6" t="s">
        <v>711</v>
      </c>
      <c r="E27" s="6" t="s">
        <v>712</v>
      </c>
    </row>
    <row r="28" customFormat="false" ht="35.05" hidden="false" customHeight="false" outlineLevel="0" collapsed="false">
      <c r="A28" s="5" t="s">
        <v>713</v>
      </c>
      <c r="B28" s="5" t="s">
        <v>714</v>
      </c>
      <c r="C28" s="5" t="s">
        <v>79</v>
      </c>
      <c r="D28" s="5" t="s">
        <v>715</v>
      </c>
      <c r="E28" s="5" t="s">
        <v>716</v>
      </c>
    </row>
    <row r="29" customFormat="false" ht="23.85" hidden="false" customHeight="false" outlineLevel="0" collapsed="false">
      <c r="A29" s="6" t="s">
        <v>717</v>
      </c>
      <c r="B29" s="6" t="s">
        <v>718</v>
      </c>
      <c r="C29" s="6" t="s">
        <v>79</v>
      </c>
      <c r="D29" s="6" t="s">
        <v>719</v>
      </c>
      <c r="E29" s="6" t="s">
        <v>720</v>
      </c>
    </row>
    <row r="30" customFormat="false" ht="57.45" hidden="false" customHeight="false" outlineLevel="0" collapsed="false">
      <c r="A30" s="5" t="s">
        <v>721</v>
      </c>
      <c r="B30" s="5" t="s">
        <v>722</v>
      </c>
      <c r="C30" s="5" t="s">
        <v>79</v>
      </c>
      <c r="D30" s="5" t="s">
        <v>723</v>
      </c>
      <c r="E30" s="5" t="s">
        <v>724</v>
      </c>
    </row>
    <row r="31" customFormat="false" ht="15" hidden="false" customHeight="false" outlineLevel="0" collapsed="false">
      <c r="A31" s="6" t="s">
        <v>725</v>
      </c>
      <c r="B31" s="6" t="s">
        <v>726</v>
      </c>
      <c r="C31" s="6" t="s">
        <v>79</v>
      </c>
      <c r="D31" s="6" t="s">
        <v>727</v>
      </c>
      <c r="E31" s="6" t="s">
        <v>728</v>
      </c>
    </row>
    <row r="32" customFormat="false" ht="23.85" hidden="false" customHeight="false" outlineLevel="0" collapsed="false">
      <c r="A32" s="5" t="s">
        <v>729</v>
      </c>
      <c r="B32" s="5" t="s">
        <v>730</v>
      </c>
      <c r="C32" s="5" t="s">
        <v>79</v>
      </c>
      <c r="D32" s="5" t="s">
        <v>731</v>
      </c>
      <c r="E32" s="5" t="s">
        <v>732</v>
      </c>
    </row>
    <row r="33" customFormat="false" ht="15" hidden="false" customHeight="false" outlineLevel="0" collapsed="false">
      <c r="A33" s="6" t="s">
        <v>733</v>
      </c>
      <c r="B33" s="6" t="s">
        <v>734</v>
      </c>
      <c r="C33" s="6" t="s">
        <v>79</v>
      </c>
      <c r="D33" s="6" t="s">
        <v>735</v>
      </c>
      <c r="E33" s="6" t="s">
        <v>728</v>
      </c>
    </row>
    <row r="34" customFormat="false" ht="23.85" hidden="false" customHeight="false" outlineLevel="0" collapsed="false">
      <c r="A34" s="5" t="s">
        <v>736</v>
      </c>
      <c r="B34" s="5" t="s">
        <v>737</v>
      </c>
      <c r="C34" s="5" t="s">
        <v>79</v>
      </c>
      <c r="D34" s="5" t="s">
        <v>738</v>
      </c>
      <c r="E34" s="5" t="s">
        <v>739</v>
      </c>
    </row>
    <row r="35" customFormat="false" ht="23.85" hidden="false" customHeight="false" outlineLevel="0" collapsed="false">
      <c r="A35" s="6" t="s">
        <v>736</v>
      </c>
      <c r="B35" s="6" t="s">
        <v>740</v>
      </c>
      <c r="C35" s="6" t="s">
        <v>79</v>
      </c>
      <c r="D35" s="6" t="s">
        <v>741</v>
      </c>
      <c r="E35" s="6" t="s">
        <v>742</v>
      </c>
    </row>
  </sheetData>
  <mergeCells count="3">
    <mergeCell ref="A1:E1"/>
    <mergeCell ref="A2:E2"/>
    <mergeCell ref="A3:E3"/>
  </mergeCells>
  <dataValidations count="1">
    <dataValidation allowBlank="false" errorStyle="stop" operator="between" showDropDown="false" showErrorMessage="false" showInputMessage="false" sqref="C6:C36"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52"/>
    <col collapsed="false" customWidth="true" hidden="false" outlineLevel="0" max="4" min="4" style="0" width="40"/>
    <col collapsed="false" customWidth="true" hidden="false" outlineLevel="0" max="5" min="5" style="0" width="20"/>
    <col collapsed="false" customWidth="true" hidden="false" outlineLevel="0" max="6" min="6" style="0" width="18"/>
  </cols>
  <sheetData>
    <row r="1" customFormat="false" ht="24" hidden="false" customHeight="true" outlineLevel="0" collapsed="false">
      <c r="A1" s="1" t="s">
        <v>743</v>
      </c>
      <c r="B1" s="1"/>
      <c r="C1" s="1"/>
      <c r="D1" s="1"/>
      <c r="E1" s="1"/>
      <c r="F1" s="1"/>
    </row>
    <row r="2" customFormat="false" ht="15" hidden="false" customHeight="false" outlineLevel="0" collapsed="false">
      <c r="A2" s="2" t="s">
        <v>744</v>
      </c>
      <c r="B2" s="2"/>
      <c r="C2" s="2"/>
      <c r="D2" s="2"/>
      <c r="E2" s="2"/>
      <c r="F2" s="2"/>
    </row>
    <row r="3" customFormat="false" ht="15" hidden="false" customHeight="false" outlineLevel="0" collapsed="false">
      <c r="A3" s="3" t="s">
        <v>2</v>
      </c>
      <c r="B3" s="3"/>
      <c r="C3" s="3"/>
      <c r="D3" s="3"/>
      <c r="E3" s="3"/>
      <c r="F3" s="3"/>
    </row>
    <row r="5" customFormat="false" ht="30" hidden="false" customHeight="true" outlineLevel="0" collapsed="false">
      <c r="A5" s="4" t="s">
        <v>292</v>
      </c>
      <c r="B5" s="4" t="s">
        <v>745</v>
      </c>
      <c r="C5" s="4" t="s">
        <v>746</v>
      </c>
      <c r="D5" s="4" t="s">
        <v>747</v>
      </c>
      <c r="E5" s="4" t="s">
        <v>748</v>
      </c>
      <c r="F5" s="4" t="s">
        <v>749</v>
      </c>
    </row>
    <row r="6" customFormat="false" ht="35.05" hidden="false" customHeight="false" outlineLevel="0" collapsed="false">
      <c r="A6" s="5" t="s">
        <v>625</v>
      </c>
      <c r="B6" s="5" t="s">
        <v>750</v>
      </c>
      <c r="C6" s="5" t="s">
        <v>751</v>
      </c>
      <c r="D6" s="5" t="s">
        <v>752</v>
      </c>
      <c r="E6" s="5" t="s">
        <v>753</v>
      </c>
      <c r="F6" s="5" t="s">
        <v>79</v>
      </c>
    </row>
    <row r="7" customFormat="false" ht="23.85" hidden="false" customHeight="false" outlineLevel="0" collapsed="false">
      <c r="A7" s="6" t="s">
        <v>629</v>
      </c>
      <c r="B7" s="6" t="s">
        <v>754</v>
      </c>
      <c r="C7" s="6" t="s">
        <v>755</v>
      </c>
      <c r="D7" s="6" t="s">
        <v>756</v>
      </c>
      <c r="E7" s="6" t="s">
        <v>753</v>
      </c>
      <c r="F7" s="6" t="s">
        <v>79</v>
      </c>
    </row>
    <row r="8" customFormat="false" ht="15" hidden="false" customHeight="false" outlineLevel="0" collapsed="false">
      <c r="A8" s="5" t="s">
        <v>709</v>
      </c>
      <c r="B8" s="5" t="s">
        <v>757</v>
      </c>
      <c r="C8" s="5" t="s">
        <v>758</v>
      </c>
      <c r="D8" s="5" t="s">
        <v>759</v>
      </c>
      <c r="E8" s="5" t="s">
        <v>753</v>
      </c>
      <c r="F8" s="5" t="s">
        <v>79</v>
      </c>
    </row>
    <row r="9" customFormat="false" ht="23.85" hidden="false" customHeight="false" outlineLevel="0" collapsed="false">
      <c r="A9" s="6" t="s">
        <v>713</v>
      </c>
      <c r="B9" s="6" t="s">
        <v>760</v>
      </c>
      <c r="C9" s="6" t="s">
        <v>761</v>
      </c>
      <c r="D9" s="6" t="s">
        <v>762</v>
      </c>
      <c r="E9" s="6" t="s">
        <v>753</v>
      </c>
      <c r="F9" s="6" t="s">
        <v>79</v>
      </c>
    </row>
    <row r="10" customFormat="false" ht="15" hidden="false" customHeight="false" outlineLevel="0" collapsed="false">
      <c r="A10" s="5" t="s">
        <v>717</v>
      </c>
      <c r="B10" s="5" t="s">
        <v>763</v>
      </c>
      <c r="C10" s="5" t="s">
        <v>764</v>
      </c>
      <c r="D10" s="5" t="s">
        <v>765</v>
      </c>
      <c r="E10" s="5" t="s">
        <v>753</v>
      </c>
      <c r="F10" s="5" t="s">
        <v>79</v>
      </c>
    </row>
    <row r="11" customFormat="false" ht="15" hidden="false" customHeight="false" outlineLevel="0" collapsed="false">
      <c r="A11" s="6" t="s">
        <v>721</v>
      </c>
      <c r="B11" s="6" t="s">
        <v>766</v>
      </c>
      <c r="C11" s="6" t="s">
        <v>767</v>
      </c>
      <c r="D11" s="6" t="s">
        <v>768</v>
      </c>
      <c r="E11" s="6" t="s">
        <v>769</v>
      </c>
      <c r="F11" s="6" t="s">
        <v>79</v>
      </c>
    </row>
    <row r="12" customFormat="false" ht="23.85" hidden="false" customHeight="false" outlineLevel="0" collapsed="false">
      <c r="A12" s="5" t="s">
        <v>770</v>
      </c>
      <c r="B12" s="5" t="s">
        <v>771</v>
      </c>
      <c r="C12" s="5" t="s">
        <v>772</v>
      </c>
      <c r="D12" s="5" t="s">
        <v>752</v>
      </c>
      <c r="E12" s="5" t="s">
        <v>753</v>
      </c>
      <c r="F12" s="5" t="s">
        <v>773</v>
      </c>
    </row>
    <row r="13" customFormat="false" ht="15" hidden="false" customHeight="false" outlineLevel="0" collapsed="false">
      <c r="A13" s="6" t="s">
        <v>770</v>
      </c>
      <c r="B13" s="6" t="s">
        <v>774</v>
      </c>
      <c r="C13" s="6" t="s">
        <v>775</v>
      </c>
      <c r="D13" s="6" t="s">
        <v>776</v>
      </c>
      <c r="E13" s="6" t="s">
        <v>777</v>
      </c>
      <c r="F13" s="6" t="s">
        <v>773</v>
      </c>
    </row>
    <row r="14" customFormat="false" ht="15" hidden="false" customHeight="false" outlineLevel="0" collapsed="false">
      <c r="A14" s="5" t="s">
        <v>770</v>
      </c>
      <c r="B14" s="5" t="s">
        <v>778</v>
      </c>
      <c r="C14" s="5" t="s">
        <v>779</v>
      </c>
      <c r="D14" s="5" t="s">
        <v>780</v>
      </c>
      <c r="E14" s="5" t="s">
        <v>781</v>
      </c>
      <c r="F14" s="5" t="s">
        <v>773</v>
      </c>
    </row>
    <row r="15" customFormat="false" ht="15" hidden="false" customHeight="false" outlineLevel="0" collapsed="false">
      <c r="A15" s="6" t="s">
        <v>770</v>
      </c>
      <c r="B15" s="6" t="s">
        <v>782</v>
      </c>
      <c r="C15" s="6" t="s">
        <v>783</v>
      </c>
      <c r="D15" s="6" t="s">
        <v>784</v>
      </c>
      <c r="E15" s="6" t="s">
        <v>785</v>
      </c>
      <c r="F15" s="6" t="s">
        <v>773</v>
      </c>
    </row>
    <row r="16" customFormat="false" ht="15" hidden="false" customHeight="false" outlineLevel="0" collapsed="false">
      <c r="A16" s="5" t="s">
        <v>770</v>
      </c>
      <c r="B16" s="5" t="s">
        <v>786</v>
      </c>
      <c r="C16" s="5" t="s">
        <v>787</v>
      </c>
      <c r="D16" s="5" t="s">
        <v>788</v>
      </c>
      <c r="E16" s="5" t="s">
        <v>753</v>
      </c>
      <c r="F16" s="5" t="s">
        <v>773</v>
      </c>
    </row>
    <row r="17" customFormat="false" ht="15" hidden="false" customHeight="false" outlineLevel="0" collapsed="false">
      <c r="A17" s="6" t="s">
        <v>770</v>
      </c>
      <c r="B17" s="6" t="s">
        <v>789</v>
      </c>
      <c r="C17" s="6" t="s">
        <v>790</v>
      </c>
      <c r="D17" s="6" t="s">
        <v>788</v>
      </c>
      <c r="E17" s="6" t="s">
        <v>769</v>
      </c>
      <c r="F17" s="6" t="s">
        <v>773</v>
      </c>
    </row>
  </sheetData>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80"/>
    <col collapsed="false" customWidth="true" hidden="false" outlineLevel="0" max="4" min="4" style="0" width="60"/>
  </cols>
  <sheetData>
    <row r="1" customFormat="false" ht="24" hidden="false" customHeight="true" outlineLevel="0" collapsed="false">
      <c r="A1" s="1" t="s">
        <v>791</v>
      </c>
      <c r="B1" s="1"/>
      <c r="C1" s="1"/>
      <c r="D1" s="1"/>
    </row>
    <row r="2" customFormat="false" ht="15" hidden="false" customHeight="false" outlineLevel="0" collapsed="false">
      <c r="A2" s="2" t="s">
        <v>792</v>
      </c>
      <c r="B2" s="2"/>
      <c r="C2" s="2"/>
      <c r="D2" s="2"/>
    </row>
    <row r="3" customFormat="false" ht="15" hidden="false" customHeight="false" outlineLevel="0" collapsed="false">
      <c r="A3" s="3" t="s">
        <v>2</v>
      </c>
      <c r="B3" s="3"/>
      <c r="C3" s="3"/>
      <c r="D3" s="3"/>
    </row>
    <row r="5" customFormat="false" ht="30" hidden="false" customHeight="true" outlineLevel="0" collapsed="false">
      <c r="A5" s="4" t="s">
        <v>292</v>
      </c>
      <c r="B5" s="4" t="s">
        <v>793</v>
      </c>
      <c r="C5" s="4" t="s">
        <v>794</v>
      </c>
      <c r="D5" s="4" t="s">
        <v>795</v>
      </c>
    </row>
    <row r="6" customFormat="false" ht="15" hidden="false" customHeight="false" outlineLevel="0" collapsed="false">
      <c r="A6" s="5" t="s">
        <v>625</v>
      </c>
      <c r="B6" s="5" t="s">
        <v>796</v>
      </c>
      <c r="C6" s="5" t="s">
        <v>797</v>
      </c>
      <c r="D6" s="5" t="s">
        <v>798</v>
      </c>
    </row>
    <row r="7" customFormat="false" ht="23.85" hidden="false" customHeight="false" outlineLevel="0" collapsed="false">
      <c r="A7" s="6" t="s">
        <v>629</v>
      </c>
      <c r="B7" s="6" t="s">
        <v>799</v>
      </c>
      <c r="C7" s="6" t="s">
        <v>800</v>
      </c>
      <c r="D7" s="6" t="s">
        <v>801</v>
      </c>
    </row>
    <row r="8" customFormat="false" ht="23.85" hidden="false" customHeight="false" outlineLevel="0" collapsed="false">
      <c r="A8" s="5" t="s">
        <v>709</v>
      </c>
      <c r="B8" s="5" t="s">
        <v>802</v>
      </c>
      <c r="C8" s="5" t="s">
        <v>803</v>
      </c>
      <c r="D8" s="5" t="s">
        <v>804</v>
      </c>
    </row>
    <row r="9" customFormat="false" ht="15" hidden="false" customHeight="false" outlineLevel="0" collapsed="false">
      <c r="A9" s="6" t="s">
        <v>713</v>
      </c>
      <c r="B9" s="6" t="s">
        <v>805</v>
      </c>
      <c r="C9" s="6" t="s">
        <v>806</v>
      </c>
      <c r="D9" s="6" t="s">
        <v>807</v>
      </c>
    </row>
    <row r="10" customFormat="false" ht="23.85" hidden="false" customHeight="false" outlineLevel="0" collapsed="false">
      <c r="A10" s="5" t="s">
        <v>717</v>
      </c>
      <c r="B10" s="5" t="s">
        <v>808</v>
      </c>
      <c r="C10" s="5" t="s">
        <v>809</v>
      </c>
      <c r="D10" s="5" t="s">
        <v>810</v>
      </c>
    </row>
    <row r="11" customFormat="false" ht="15" hidden="false" customHeight="false" outlineLevel="0" collapsed="false">
      <c r="A11" s="6" t="s">
        <v>721</v>
      </c>
      <c r="B11" s="6" t="s">
        <v>811</v>
      </c>
      <c r="C11" s="7" t="s">
        <v>812</v>
      </c>
      <c r="D11" s="6" t="s">
        <v>813</v>
      </c>
    </row>
    <row r="12" customFormat="false" ht="15" hidden="false" customHeight="false" outlineLevel="0" collapsed="false">
      <c r="A12" s="5" t="s">
        <v>814</v>
      </c>
      <c r="B12" s="5" t="s">
        <v>815</v>
      </c>
      <c r="C12" s="7" t="s">
        <v>816</v>
      </c>
      <c r="D12" s="7" t="s">
        <v>817</v>
      </c>
    </row>
  </sheetData>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20"/>
    <col collapsed="false" customWidth="true" hidden="false" outlineLevel="0" max="3" min="3" style="0" width="14"/>
  </cols>
  <sheetData>
    <row r="1" customFormat="false" ht="24" hidden="false" customHeight="true" outlineLevel="0" collapsed="false">
      <c r="A1" s="1" t="s">
        <v>818</v>
      </c>
      <c r="B1" s="1"/>
      <c r="C1" s="1"/>
    </row>
    <row r="2" customFormat="false" ht="15" hidden="false" customHeight="false" outlineLevel="0" collapsed="false">
      <c r="A2" s="2" t="s">
        <v>819</v>
      </c>
      <c r="B2" s="2"/>
      <c r="C2" s="2"/>
    </row>
    <row r="3" customFormat="false" ht="15" hidden="false" customHeight="false" outlineLevel="0" collapsed="false">
      <c r="A3" s="3" t="s">
        <v>2</v>
      </c>
      <c r="B3" s="3"/>
      <c r="C3" s="3"/>
    </row>
    <row r="5" customFormat="false" ht="30" hidden="false" customHeight="true" outlineLevel="0" collapsed="false">
      <c r="A5" s="4" t="s">
        <v>292</v>
      </c>
      <c r="B5" s="4" t="s">
        <v>820</v>
      </c>
      <c r="C5" s="4" t="s">
        <v>821</v>
      </c>
    </row>
    <row r="6" customFormat="false" ht="23.85" hidden="false" customHeight="false" outlineLevel="0" collapsed="false">
      <c r="A6" s="5" t="s">
        <v>625</v>
      </c>
      <c r="B6" s="5" t="s">
        <v>822</v>
      </c>
      <c r="C6" s="5" t="s">
        <v>79</v>
      </c>
    </row>
    <row r="7" customFormat="false" ht="23.85" hidden="false" customHeight="false" outlineLevel="0" collapsed="false">
      <c r="A7" s="6" t="s">
        <v>629</v>
      </c>
      <c r="B7" s="6" t="s">
        <v>823</v>
      </c>
      <c r="C7" s="6" t="s">
        <v>79</v>
      </c>
    </row>
    <row r="8" customFormat="false" ht="15" hidden="false" customHeight="false" outlineLevel="0" collapsed="false">
      <c r="A8" s="5" t="s">
        <v>709</v>
      </c>
      <c r="B8" s="5" t="s">
        <v>824</v>
      </c>
      <c r="C8" s="5" t="s">
        <v>79</v>
      </c>
    </row>
    <row r="9" customFormat="false" ht="15" hidden="false" customHeight="false" outlineLevel="0" collapsed="false">
      <c r="A9" s="6" t="s">
        <v>713</v>
      </c>
      <c r="B9" s="6" t="s">
        <v>825</v>
      </c>
      <c r="C9" s="6" t="s">
        <v>79</v>
      </c>
    </row>
    <row r="10" customFormat="false" ht="15" hidden="false" customHeight="false" outlineLevel="0" collapsed="false">
      <c r="A10" s="5" t="s">
        <v>717</v>
      </c>
      <c r="B10" s="5" t="s">
        <v>826</v>
      </c>
      <c r="C10" s="5" t="s">
        <v>79</v>
      </c>
    </row>
    <row r="11" customFormat="false" ht="15" hidden="false" customHeight="false" outlineLevel="0" collapsed="false">
      <c r="A11" s="6" t="s">
        <v>721</v>
      </c>
      <c r="B11" s="6" t="s">
        <v>827</v>
      </c>
      <c r="C11" s="6" t="s">
        <v>79</v>
      </c>
    </row>
    <row r="12" customFormat="false" ht="15" hidden="false" customHeight="false" outlineLevel="0" collapsed="false">
      <c r="A12" s="5" t="s">
        <v>814</v>
      </c>
      <c r="B12" s="5" t="s">
        <v>828</v>
      </c>
      <c r="C12" s="5" t="s">
        <v>79</v>
      </c>
    </row>
    <row r="13" customFormat="false" ht="15" hidden="false" customHeight="false" outlineLevel="0" collapsed="false">
      <c r="A13" s="6" t="s">
        <v>829</v>
      </c>
      <c r="B13" s="6" t="s">
        <v>830</v>
      </c>
      <c r="C13" s="6" t="s">
        <v>79</v>
      </c>
    </row>
    <row r="14" customFormat="false" ht="15" hidden="false" customHeight="false" outlineLevel="0" collapsed="false">
      <c r="A14" s="5" t="s">
        <v>831</v>
      </c>
      <c r="B14" s="5" t="s">
        <v>832</v>
      </c>
      <c r="C14" s="5" t="s">
        <v>79</v>
      </c>
    </row>
    <row r="15" customFormat="false" ht="15" hidden="false" customHeight="false" outlineLevel="0" collapsed="false">
      <c r="A15" s="6" t="s">
        <v>833</v>
      </c>
      <c r="B15" s="6" t="s">
        <v>834</v>
      </c>
      <c r="C15" s="6" t="s">
        <v>79</v>
      </c>
    </row>
    <row r="16" customFormat="false" ht="15" hidden="false" customHeight="false" outlineLevel="0" collapsed="false">
      <c r="A16" s="5" t="s">
        <v>835</v>
      </c>
      <c r="B16" s="5" t="s">
        <v>836</v>
      </c>
      <c r="C16" s="5" t="s">
        <v>79</v>
      </c>
    </row>
    <row r="17" customFormat="false" ht="15" hidden="false" customHeight="false" outlineLevel="0" collapsed="false">
      <c r="A17" s="6" t="s">
        <v>837</v>
      </c>
      <c r="B17" s="6" t="s">
        <v>838</v>
      </c>
      <c r="C17" s="6" t="s">
        <v>79</v>
      </c>
    </row>
    <row r="20" customFormat="false" ht="15" hidden="false" customHeight="false" outlineLevel="0" collapsed="false">
      <c r="B20" s="33" t="s">
        <v>839</v>
      </c>
    </row>
    <row r="21" customFormat="false" ht="15" hidden="false" customHeight="false" outlineLevel="0" collapsed="false">
      <c r="B21" s="33" t="s">
        <v>840</v>
      </c>
    </row>
    <row r="22" customFormat="false" ht="15" hidden="false" customHeight="false" outlineLevel="0" collapsed="false">
      <c r="B22" s="10" t="s">
        <v>841</v>
      </c>
    </row>
    <row r="23" customFormat="false" ht="15" hidden="false" customHeight="false" outlineLevel="0" collapsed="false">
      <c r="B23" s="34" t="s">
        <v>842</v>
      </c>
    </row>
    <row r="24" customFormat="false" ht="15" hidden="false" customHeight="false" outlineLevel="0" collapsed="false">
      <c r="B24" s="33" t="s">
        <v>843</v>
      </c>
    </row>
  </sheetData>
  <mergeCells count="3">
    <mergeCell ref="A1:C1"/>
    <mergeCell ref="A2:C2"/>
    <mergeCell ref="A3:C3"/>
  </mergeCells>
  <dataValidations count="1">
    <dataValidation allowBlank="false" errorStyle="stop" operator="between" showDropDown="false" showErrorMessage="false" showInputMessage="false" sqref="C6:C1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2026-09-14T07:55:20Z</dcterms:created>
  <dc:creator>openpyxl</dc:creator>
  <dc:description/>
  <dc:language>en-US</dc:language>
  <cp:lastModifiedBy/>
  <dcterms:modified xsi:type="dcterms:W3CDTF">2026-09-14T07:55:20Z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